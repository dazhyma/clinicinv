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heet6" sheetId="2" r:id="rId6"/>
    <sheet state="visible" name="Scan" sheetId="3" r:id="rId7"/>
    <sheet state="visible" name="Count Log" sheetId="4" r:id="rId8"/>
    <sheet state="visible" name="Лист5" sheetId="5" r:id="rId9"/>
    <sheet state="visible" name="By Category" sheetId="6" r:id="rId10"/>
    <sheet state="visible" name="Original Order" sheetId="7" r:id="rId11"/>
    <sheet state="visible" name="Summary" sheetId="8" r:id="rId12"/>
    <sheet state="visible" name="Categories" sheetId="9" r:id="rId13"/>
  </sheets>
  <definedNames/>
  <calcPr/>
</workbook>
</file>

<file path=xl/sharedStrings.xml><?xml version="1.0" encoding="utf-8"?>
<sst xmlns="http://schemas.openxmlformats.org/spreadsheetml/2006/main" count="5498" uniqueCount="1661">
  <si>
    <t>Barcode Image</t>
  </si>
  <si>
    <t>Scan Here</t>
  </si>
  <si>
    <t>Code / SKU</t>
  </si>
  <si>
    <t>Status</t>
  </si>
  <si>
    <t>Item Name</t>
  </si>
  <si>
    <t>Qty Per Scan</t>
  </si>
  <si>
    <t>Counted Qty</t>
  </si>
  <si>
    <t>Qtty/box</t>
  </si>
  <si>
    <t>Price/unit</t>
  </si>
  <si>
    <t>TRIAMCINOLONE-40MG-ML</t>
  </si>
  <si>
    <t>Amneal Triamcinolone 40mg/ml</t>
  </si>
  <si>
    <t>TEST123</t>
  </si>
  <si>
    <t>SKINUVA-BAG</t>
  </si>
  <si>
    <t>Test Item</t>
  </si>
  <si>
    <t>Qty Added</t>
  </si>
  <si>
    <t>COTININE-TEST-DEVICE</t>
  </si>
  <si>
    <t>Cotinine Test Device (Ref: DCT-102)</t>
  </si>
  <si>
    <t>ARTIFICIAL-TEARS-15ML</t>
  </si>
  <si>
    <t>Gericare Artificial Tears (15ml)</t>
  </si>
  <si>
    <t>IRON-SUCROSE-200MG-10ML-SANDOZ</t>
  </si>
  <si>
    <t>HCG-URINE-PREG-CASSETTE</t>
  </si>
  <si>
    <t>Sandoz Iron Sucrose Injection 10ml, 200mg (NDC: 0781-3487-70)</t>
  </si>
  <si>
    <t>hCG Urine Pregnancy Test Cassette ( Ref: PF453 / MPH11025HCG)</t>
  </si>
  <si>
    <t>Added</t>
  </si>
  <si>
    <t>IRON-SUCROSE-200MG-10ML-MYLAN</t>
  </si>
  <si>
    <t>MULTI-DRUG-TEST-CUP</t>
  </si>
  <si>
    <t>Mylan Iron Sucrose Injection 10ml, 200mg (NDC: 67457-639-00)</t>
  </si>
  <si>
    <t>Multi Panel Drug Urine Test Cup (Ref: HCDOAV-5)</t>
  </si>
  <si>
    <t>NEOMYCIN-POLYMYXIN-3.5G</t>
  </si>
  <si>
    <t>Neomycin and Polymyxin B Sulfates 3.5g (NDC: 24208-785-55)</t>
  </si>
  <si>
    <t>PATIENT-GOWN-DISPOSABLE</t>
  </si>
  <si>
    <t>Polymyxin B 500000 (NDC: 63323-321-10)</t>
  </si>
  <si>
    <t>Patient Gown One-time (Ref: NON27046)</t>
  </si>
  <si>
    <t>CHLORHEXIDINE-0.12PCT</t>
  </si>
  <si>
    <t>Rising Chlorhexidine gluconate 0.12% (NDC: 16571-128-48)</t>
  </si>
  <si>
    <t>PATIENT-GOWN-FABRIC</t>
  </si>
  <si>
    <t>Medline Patient gown fabric (Ref: MDTPG2RSBSTA)</t>
  </si>
  <si>
    <t>TETRACAINE-0.5PCT-5ML</t>
  </si>
  <si>
    <t>Tetracaine Hydrochloride 0.5% 5mL (NDC: 70069-596-01)</t>
  </si>
  <si>
    <t>ANTI-EMBOLISM-STOCKINGS-XL</t>
  </si>
  <si>
    <t>Cardinal Health Anti-Embolism Stockings Knee Length XL (Ref: 7802)</t>
  </si>
  <si>
    <t>CEFTRIAXONE-250MG</t>
  </si>
  <si>
    <t>Ceftriaxone for injections, 250 mg (NDCL: 0409-7337-01)</t>
  </si>
  <si>
    <t>ANTI-EMBOLISM-STOCKINGS-L</t>
  </si>
  <si>
    <t>Cardinal Health Anti-Embolism Stockings Knee Length Large (Ref: 7594)</t>
  </si>
  <si>
    <t>AFRIN-NASAL-MIST-15ML</t>
  </si>
  <si>
    <t>Afrin Nasal Pump Mist 15ml (no drip, severe congestion)</t>
  </si>
  <si>
    <t>ANTI-EMBOLISM-STOCKINGS-M</t>
  </si>
  <si>
    <t>Cardinal Health Anti-Embolism Stockings Knee Length Medium (Ref: 7115)</t>
  </si>
  <si>
    <t>ONDANSETRON-4MG-2ML</t>
  </si>
  <si>
    <t>Odansetron Injection 4mg/2ml (NDC: 60505-6130-5)</t>
  </si>
  <si>
    <t>Cotinine Test Device</t>
  </si>
  <si>
    <t>SLIPPERS-SKID-RESISTANT</t>
  </si>
  <si>
    <t xml:space="preserve">Medline Single Tread Slippers W/Skid-Resistant Soles (Ref: 44125Z) </t>
  </si>
  <si>
    <t>METOCLOPRAMIDE-10MG-2ML</t>
  </si>
  <si>
    <t>Metoclopramine 10mg/2ml (NDC: 23155-240-41)</t>
  </si>
  <si>
    <t>hCG Urine Pregnancy Test Cassette</t>
  </si>
  <si>
    <t>PATIENT-BLANKET</t>
  </si>
  <si>
    <t>Medline Patient Blanket (Ref: NONDB4080)</t>
  </si>
  <si>
    <t>BOUFFANT-CAPS</t>
  </si>
  <si>
    <t>DOPamine HCL (NDC:0409-5820-11)</t>
  </si>
  <si>
    <t>Medline Bouffant Caps (Ref: CRI1001)</t>
  </si>
  <si>
    <t>100/box /5 boxes</t>
  </si>
  <si>
    <t>Midazolam injection 10mg/10ml (NDC: 0641-6056-10)</t>
  </si>
  <si>
    <t>SURGEONS-CAPS</t>
  </si>
  <si>
    <t>Medline Surgeron's Caps (Ref: NON28625)</t>
  </si>
  <si>
    <t>100/box</t>
  </si>
  <si>
    <t>Midazolam injection 5mg/5ml (NDC: 0409-2305-05)</t>
  </si>
  <si>
    <t>SHOE-COVERS-LARGE</t>
  </si>
  <si>
    <t>Medline Shoe Covers Large (Ref: CRI2002)</t>
  </si>
  <si>
    <t>100/box/ 4 boxes</t>
  </si>
  <si>
    <t>NITRILE-GLOVES-S</t>
  </si>
  <si>
    <t>Exam Gloves Nitrile Size S (Ref: 5700631)</t>
  </si>
  <si>
    <t>Promethazine Hydrochloride 25mg/ml (NDC: 39822-5525-3)</t>
  </si>
  <si>
    <t>Plus Cosmetic and Skinuva bag</t>
  </si>
  <si>
    <t>Scopolamine Transdermal System 1mg/3days</t>
  </si>
  <si>
    <t>NITRILE-GLOVES-M</t>
  </si>
  <si>
    <t>Exam Gloves Nitrile Size M (Ref: 5700632)</t>
  </si>
  <si>
    <t>MAG-SULFATE-50PCT-10ML</t>
  </si>
  <si>
    <t>Magnesium Sulfate Inection, 50%, 10 ML (NDC: 63323-06404)</t>
  </si>
  <si>
    <t>NITRILE-GLOVES-L</t>
  </si>
  <si>
    <t>Exam Gloves Nitrile Size L (Ref: 5700633)</t>
  </si>
  <si>
    <t>200/box</t>
  </si>
  <si>
    <t>HYDROmorphone HCL 1mg/ml (NDC: 0409-1283-31)</t>
  </si>
  <si>
    <t>DRY-SKIN-SCRUB-TRAY</t>
  </si>
  <si>
    <t>Medline Premium Dry Skin Scrub Tray (Ref: DYND70661)</t>
  </si>
  <si>
    <t>HYDROmorphone HCL 2mg/ml (NDC: 0633323-853-25)</t>
  </si>
  <si>
    <t>CHLORAPREP-26ML</t>
  </si>
  <si>
    <t>BD ChloraPrep 26ml Applicator (Ref: 930815)</t>
  </si>
  <si>
    <t xml:space="preserve">Rygby Polyvinyl alcohol 1.4% lubricating eye drops 15mL (NDC: 0536-1408-94) </t>
  </si>
  <si>
    <t>OCUSOFT-LID-SCRUB</t>
  </si>
  <si>
    <t>Ocusoft Lid Scrub (Ref:  54799-301-90)</t>
  </si>
  <si>
    <t>Phenylephrine HCL 10mg/Ml (NDC: 71288-807-02)</t>
  </si>
  <si>
    <t>RETURN-ELECTRODE-ADULT-CABLE</t>
  </si>
  <si>
    <t>Bovie Disposable Split Adult Return Electrode with Cable (Ref: ESREC-1)</t>
  </si>
  <si>
    <t>Flumazenil 5mg/5ml (NDC:0143-9784-01)</t>
  </si>
  <si>
    <t>FOLEY-CATH-TRAY-16FR</t>
  </si>
  <si>
    <t>Medline Silicone-Elastomer Coated Latex Foley Catheter Tray 16Fr (Ref:DYND11003)</t>
  </si>
  <si>
    <t>Esmolol Hydrochloride 100mg/10ml (NDC: 67457-182-00)</t>
  </si>
  <si>
    <t>POST-SURGERY-BRA</t>
  </si>
  <si>
    <t>Post Surgery Bra</t>
  </si>
  <si>
    <t>GLYCOPYRROLATE-0.2MG-ML</t>
  </si>
  <si>
    <t>Sagent Glycopyrrolate Injection 0.2mg/ml (NDC: 25021-796-01)</t>
  </si>
  <si>
    <t>ABDOMINAL-BINDER-62-74</t>
  </si>
  <si>
    <t>McKesson Abdominal Binder 62-74 four panel (Ref: 155-79-89220)</t>
  </si>
  <si>
    <t>10% Calcium Chloride Ingection 1g/10ml (NDC: 76329-3304-1)</t>
  </si>
  <si>
    <t>ABDOMINAL-BINDER-45-62</t>
  </si>
  <si>
    <t>McKesson Abdominal Binder 45-62 four panel (Ref: 155-79-89091)</t>
  </si>
  <si>
    <t>Epinephrine 1mg/10ML (NDC: 76329-3318-1)</t>
  </si>
  <si>
    <t>ABDOMINAL-BINDER-30-45</t>
  </si>
  <si>
    <t>McKesson Abdominal Binder 30-45 four panel (Ref: 155-79-89090)</t>
  </si>
  <si>
    <t>Atropine Sulfate 1mg/10ml (NDC: 76329-3340-1)</t>
  </si>
  <si>
    <t>ABDOMINAL-BINDER-30-45-3PANEL</t>
  </si>
  <si>
    <t>McKesson Abdominal Binder 30-45 three panel (Ref: 155-79-89070)</t>
  </si>
  <si>
    <t>50% Dextrose 50mL (NDC: 0409-6648-16)</t>
  </si>
  <si>
    <t>TABLE-COVER-50X90</t>
  </si>
  <si>
    <t>Medline Table Cover 50" x 90" (Ref: DYNJP2316)</t>
  </si>
  <si>
    <t>Heparine 5000 1ml (NDC: 25021-402-01)</t>
  </si>
  <si>
    <t>MAYO-STAND-COVER-REINFORCED</t>
  </si>
  <si>
    <t>Medline Mayo Stand Cover, Reinforced (Ref: DYNJP2500)</t>
  </si>
  <si>
    <t>Epinephrine 1mg/ml (NDC: 54288-103-10)</t>
  </si>
  <si>
    <t>L-SPONGE-DOUBLE</t>
  </si>
  <si>
    <t>NOT FOUND</t>
  </si>
  <si>
    <t>Barcode/code not found in Database</t>
  </si>
  <si>
    <t>MEDIUM-SHEET</t>
  </si>
  <si>
    <t>Cardinal Health Medium Sheet (Ref: 9355)</t>
  </si>
  <si>
    <t>Lidocaine HCl 2% 20mg/ml (NDC: 0409-0147-10)</t>
  </si>
  <si>
    <t>TONSIL-SPONGE-DOUBLE</t>
  </si>
  <si>
    <t>Medline Tonsil Sponge Double Strung (ref:MDS78912)</t>
  </si>
  <si>
    <t>LARGE-SHEET</t>
  </si>
  <si>
    <t>Cardinal Health Large Sheet (ref: 9446)</t>
  </si>
  <si>
    <t>Naloxone Hydrochloride 0.4mg/mL (NDC: 72603-590-10)</t>
  </si>
  <si>
    <t>TRANSVERSE-LAP-DRAPE</t>
  </si>
  <si>
    <t>Cardinal Health Transverse Laparotomy Drape (Ref: 29421)</t>
  </si>
  <si>
    <t>LIDOCAINE-0.5-50ML</t>
  </si>
  <si>
    <t>Lidocaine 0.5% 5mg/ml  50ml (NDC: 0409-3177-01/06)</t>
  </si>
  <si>
    <t>IV-ADMIN-SET</t>
  </si>
  <si>
    <t>Henry Schein IV Administration Set (ref:570-0887)</t>
  </si>
  <si>
    <t>OR-TOWELS</t>
  </si>
  <si>
    <t>Medline O.R. Towels (Ref: MDT2168284)</t>
  </si>
  <si>
    <t>Porpofor Injectable 500mg/50ml (NDC: 16714-977-20)</t>
  </si>
  <si>
    <t>CHEST-BREAST-DRAPE-LVL4</t>
  </si>
  <si>
    <t>Medline Chest/Breast Drape Lvl 4 (Ref: DYNJP2491)</t>
  </si>
  <si>
    <t>NONCONDUCTIVE-TUBING-3M</t>
  </si>
  <si>
    <t>Medline Non-Conductive Connecting Tubing 3mt log (Ref: DYND50221)</t>
  </si>
  <si>
    <t>NEEDLE-COUNTER</t>
  </si>
  <si>
    <t>Medline Needle Counter (Ref: NC20FBR)</t>
  </si>
  <si>
    <t>LIGHT-HANDLE-COVER-FLEX</t>
  </si>
  <si>
    <t>Medline Flexible Light Handle Cover (Ref: DYNJLHS1)</t>
  </si>
  <si>
    <t>CAUTERY-PENCIL-ROCKER</t>
  </si>
  <si>
    <t>Medline Cautery Pencil Rocker Staninless Steel Blade  (Ref: ESRK3000)</t>
  </si>
  <si>
    <t>DISPOSABLE-NEBULIZER</t>
  </si>
  <si>
    <t>SKIN-MARKER-RULER</t>
  </si>
  <si>
    <t>Medline Disposable Nebulizer (Ref:HCS4485)</t>
  </si>
  <si>
    <t>Medline Surgical Skin Marker Standart Tip With Ruler (Ref: DYNJSM01)</t>
  </si>
  <si>
    <t>YANKAUER-BULB-NOVENT</t>
  </si>
  <si>
    <t>Medline Yankauer with Bulb Tip No control vent (Ref: DYND50130)</t>
  </si>
  <si>
    <t>YANKAUER-BULB-VENT</t>
  </si>
  <si>
    <t>Medline Yankauer with Bulb Tip with control vent (Ref: DYND50132)</t>
  </si>
  <si>
    <t>SURGICAL-GOWN-XL</t>
  </si>
  <si>
    <t>Medline surgical Gown XL (Ref: DYNJP2102)</t>
  </si>
  <si>
    <t>LAP-SPONGES-18X18</t>
  </si>
  <si>
    <t>Medline Lap Sponges 18x18 (Ref: MDS241518)</t>
  </si>
  <si>
    <t>MICROBORE-EXT-SET</t>
  </si>
  <si>
    <t>Henry Schein Microbore Extension Set (ref:570-0884)</t>
  </si>
  <si>
    <t>XRAY-GAUZE-4X4</t>
  </si>
  <si>
    <t>Medline Sterile X Ray Detectable Gauze 4 x 4 (Ref: NON21430LF)</t>
  </si>
  <si>
    <t>COTTON-APPLICATOR-WOOD</t>
  </si>
  <si>
    <t>Medline Cotton Tipped Applicator Wood Shaft (Ref: MDS202105)</t>
  </si>
  <si>
    <t>CO2-CANNULA-SUPERSOFT</t>
  </si>
  <si>
    <t>CONTROL-BULB-SYRINGE-60ML</t>
  </si>
  <si>
    <t>Medline Supersoft Adult CO2 Cannula (HCS4565S)</t>
  </si>
  <si>
    <t>Medline Contro-Bulb Syringe 60ml (Ref: DYND20125)</t>
  </si>
  <si>
    <t>SURGICAL-BLADE-15</t>
  </si>
  <si>
    <t>Bard-Parker Carbon Steel Surgical Blade 15 (Ref: 371115)</t>
  </si>
  <si>
    <t>CATHETER-MOUNT-EXT-TUBE</t>
  </si>
  <si>
    <t>Covidien Catheter Mount Extension Tube (Ref: 332U5115)</t>
  </si>
  <si>
    <t>SURGICAL-BLADE-11</t>
  </si>
  <si>
    <t>Bard-Parker Carbon Steel Surgical Blade 11 (Ref: 371111)</t>
  </si>
  <si>
    <t>SURGICAL-BLADE-10</t>
  </si>
  <si>
    <t>Bard-Parker Carbon Steel Surgical Blade 10 (Ref: 371110)</t>
  </si>
  <si>
    <t>OXYGEN-MASK-MED-CONC</t>
  </si>
  <si>
    <t>Medline Medium Concentration Oxygen Mask (Ref: HUDRHO41U)</t>
  </si>
  <si>
    <t>BOVIE-TIP-COLORADO-LONG</t>
  </si>
  <si>
    <t>Megadyne Long Colorado Bovie Tip (Ref: 0016M)</t>
  </si>
  <si>
    <t>BOVIE-TIP-COLORADO-SHORT</t>
  </si>
  <si>
    <t>Medline/Hudson Medium Concentration Oxygen Mask (Ref: HUDRHO41U)</t>
  </si>
  <si>
    <t>Megadyne Short Colorado Bovie Tip (Ref: 0013M)</t>
  </si>
  <si>
    <t>Bag count</t>
  </si>
  <si>
    <t>BOVIE-TIP-PROTECTED-LONG</t>
  </si>
  <si>
    <t>Megadynyne Long Protected Bovie Tip (Ref: 0014M)</t>
  </si>
  <si>
    <t>Amount</t>
  </si>
  <si>
    <t>Multiply by 13 instead of 5</t>
  </si>
  <si>
    <t>BOVIE-TIP-PROTECTED-SHORT</t>
  </si>
  <si>
    <t>Megadyne Short Protected Bovie Tip (Ref: 0012M)</t>
  </si>
  <si>
    <t>Medline Surgical Skin Marker (Ref: DYNJSM01)</t>
  </si>
  <si>
    <t>PTFE-BLADE-6IN</t>
  </si>
  <si>
    <t>Medline PTFE Coated blade 6" (Ref: EST0014M)</t>
  </si>
  <si>
    <t>KELLER-FUNNEL</t>
  </si>
  <si>
    <t>Keller Funnel (Ref: HA005)</t>
  </si>
  <si>
    <t>SKIN-STAPLER-35W</t>
  </si>
  <si>
    <t>Ethicon Proximate Skin Stapler 35w (Ref: PXW35)</t>
  </si>
  <si>
    <t>Medline O.R towels (Ref: MDT2168284)</t>
  </si>
  <si>
    <t>SKIN-STAPLER-35W-DEROYAL</t>
  </si>
  <si>
    <t>DeRoyal Skin Stapler 35W (Ref: 25-3001)</t>
  </si>
  <si>
    <t>Medline Contro-Bulb Syringe 60ml (Ref:DYND20125)</t>
  </si>
  <si>
    <t>INFILTRATION-TUBING-LARGEBORE</t>
  </si>
  <si>
    <t>Cellmyx Infiltration Large Bore Tubing (Ref: FAT-10002-IN)</t>
  </si>
  <si>
    <t>NONADHERENT-PAD-2X3</t>
  </si>
  <si>
    <t>Medline Yankauer with bulb tip no control vent (Ref: DYND50130)</t>
  </si>
  <si>
    <t>McKesson Non-Adherent Pad Sterile 2in x 3in (Ref: 16-4292)</t>
  </si>
  <si>
    <t>SYRINGE-30ML</t>
  </si>
  <si>
    <t>BD Syringe 30ml (Ref: 302832)</t>
  </si>
  <si>
    <t>$0.3341</t>
  </si>
  <si>
    <t>SYRINGE-20ML</t>
  </si>
  <si>
    <t>Medline Flexible Light handle cover (Ref: DYNJLHS1)</t>
  </si>
  <si>
    <t>BD Syringe 20ml (Ref: 302830)</t>
  </si>
  <si>
    <t>$0.2587</t>
  </si>
  <si>
    <t>SYRINGE-10ML</t>
  </si>
  <si>
    <t>BD Syringe 10ml (Ref: 302995)</t>
  </si>
  <si>
    <t>CardinalHealth Fabric Reinforced Surgical Gown XL (Ref: 9541)</t>
  </si>
  <si>
    <t>$0.1207</t>
  </si>
  <si>
    <t>SYRINGE-5ML</t>
  </si>
  <si>
    <t>BD Syringe 5ml (Ref: 309646)</t>
  </si>
  <si>
    <t>$0.1173</t>
  </si>
  <si>
    <t>Medline Lap Sponges 18x18 (Ref:MDS241528)</t>
  </si>
  <si>
    <t>SYRINGE-3ML</t>
  </si>
  <si>
    <t>BD Syringe 3ml (Ref: 309657)</t>
  </si>
  <si>
    <t>$0.0747</t>
  </si>
  <si>
    <t>Medline Needle Counter 20ct (Ref: NC20FBR)</t>
  </si>
  <si>
    <t>SYRINGE-1ML</t>
  </si>
  <si>
    <t>BD Syringe 1ml (Ref: 3096280)</t>
  </si>
  <si>
    <t>$0.3680</t>
  </si>
  <si>
    <t>Medline Tabel Cover (Ref:DYNJP2316)</t>
  </si>
  <si>
    <t>SYRINGE-60ML</t>
  </si>
  <si>
    <t>Terumo Syringe 60ml (Ref: SS-60L)</t>
  </si>
  <si>
    <t>BD Syringe 30ml (Ref:302832)</t>
  </si>
  <si>
    <t>Medline Mayo Stand Cover Reinforced (Ref:DYNJP2500)</t>
  </si>
  <si>
    <t>TOOMEY-SYRINGE-60ML</t>
  </si>
  <si>
    <t>Toomey Syringe 60ml monoject (Ref: 512956X / 560265)</t>
  </si>
  <si>
    <t>Medline Cautery Pencil Rocker Stainless Steel Blade (Ref: ESRK3000)</t>
  </si>
  <si>
    <t>SALINE-SYRINGE-10ML</t>
  </si>
  <si>
    <t>Medline Chest/Breast drape lvl 4 (Ref:DYNJP2491)</t>
  </si>
  <si>
    <t>PosiFlush Prefilled Normal Saline Syringe, 10 mL (Ref: B-D306547Z)</t>
  </si>
  <si>
    <t>HYPODERMIC-NEEDLE-18G</t>
  </si>
  <si>
    <t>Henry Schein Hypodermic Needle 18G (Ref: 900-4471)</t>
  </si>
  <si>
    <t>Medline Non-conductive connecting tube (Ref: DYND50221)</t>
  </si>
  <si>
    <t>$0.1455</t>
  </si>
  <si>
    <t>HYPODERMIC-NEEDLE-20G</t>
  </si>
  <si>
    <t>Henry Schein Hypodermic Needle 20G (Ref: 112-7110)</t>
  </si>
  <si>
    <t>$0.1104</t>
  </si>
  <si>
    <t>HYPODERMIC-NEEDLE-23G</t>
  </si>
  <si>
    <t>Hypodermic Needle 23G (Ref: SYR100235Z)</t>
  </si>
  <si>
    <t>Henry Chein Hypodermic Needles 20Gx1 1/2" (ref: 112-7110)</t>
  </si>
  <si>
    <t>THIN-WALL-NEEDLE-20G</t>
  </si>
  <si>
    <t>McKesson Thin Wall sterile needle 20g (Ref: 16-N201)</t>
  </si>
  <si>
    <t>Bard-Parker Carbon Steel Surgical Blade 15 (Ref:371115)</t>
  </si>
  <si>
    <t>HYPODERMIC-NEEDLE-22G</t>
  </si>
  <si>
    <t>McKesson Safety Hypodermic Needles 22g (Ref: 102-M22105S3)</t>
  </si>
  <si>
    <t>Megadynyne Long Protected Bovie Tip (Ref:0014M)</t>
  </si>
  <si>
    <t>HYPODERMIC-NEEDLE-25G</t>
  </si>
  <si>
    <t>Henry Shcein Hypodermic Needle 25G (Ref: 900-4472)</t>
  </si>
  <si>
    <t>Megadyne Short Protected Bovie Tip (Ref:0012M)</t>
  </si>
  <si>
    <t>$0.0704</t>
  </si>
  <si>
    <t>HYPODERMIC-NEEDLE-27G</t>
  </si>
  <si>
    <t>Exel Hypodermic Needle 27G (Ref: 26426)</t>
  </si>
  <si>
    <t>HYPODERMIC-NEEDLE-32G</t>
  </si>
  <si>
    <t>TSK Hypodermic needle 32g (Ref: PRE-32013-100)</t>
  </si>
  <si>
    <t>SPINAL-NEEDLE-18G-3.5IN-PINK</t>
  </si>
  <si>
    <t>Reli Spinal Needle 18G x 3.5" Pink (Ref: SN18G351)</t>
  </si>
  <si>
    <t>SPINAL-NEEDLE-25G-3.5IN-PINK</t>
  </si>
  <si>
    <t>Medline Spinal Needle 25G x 3.5" Pink (Ref: PAIN8018)</t>
  </si>
  <si>
    <t>$2.5352</t>
  </si>
  <si>
    <t>PENROSE-DRAIN-12X14</t>
  </si>
  <si>
    <t>CardinalHealth Penrose Drain 12 x 14 (Ref: 30414-025)</t>
  </si>
  <si>
    <t>$0.915</t>
  </si>
  <si>
    <t>ROUND-DRAIN-TROCAR-10FR</t>
  </si>
  <si>
    <t>Medline Perforated Round Drain + Trocar 10Fr (Ref: DYNJWE0321)</t>
  </si>
  <si>
    <t>$12.7530</t>
  </si>
  <si>
    <t>FLAT-DRAIN-10MM</t>
  </si>
  <si>
    <t>Medline Perforated Flat Drain 10mm (Ref: DYNJWE1311)</t>
  </si>
  <si>
    <t>$5.0390</t>
  </si>
  <si>
    <t>ROUND-DRAIN-15FR</t>
  </si>
  <si>
    <t>Medline Perforated Round Drain 15Fr (Ref: DYNJWE1323A)</t>
  </si>
  <si>
    <t>ROUND-DRAIN-ADAPTOR-7FR</t>
  </si>
  <si>
    <t>Medline Perforated Round Drain + Adaptor 7Fr (Ref: DYNJWE1320)</t>
  </si>
  <si>
    <t>ROUND-DRAIN-ADAPTOR-10FR</t>
  </si>
  <si>
    <t>Medline Perforated Round Drain + Adaptor 10Fr (Ref: DYNJWE1321A)</t>
  </si>
  <si>
    <t>CLOSED-BULB-DRAIN-SYSTEM</t>
  </si>
  <si>
    <t>Medline Closed Bulb Drainage Silicone System (Ref: DYNJWE1305)</t>
  </si>
  <si>
    <t>RENUVION-HANDPIECE-27CM</t>
  </si>
  <si>
    <t>Apyx Renuvion Handpiece 27cm (Ref: APYX-27-TP)</t>
  </si>
  <si>
    <t>RENUVION-HANDPIECE-15CM</t>
  </si>
  <si>
    <t>Apyx Renuvion Handpiece 15cm (Ref: APYX-15-TP)</t>
  </si>
  <si>
    <t>JPLASMA-STERILE-BRUSH</t>
  </si>
  <si>
    <t>Apyx Sterile Brush for J Plasma (Ref: APYX-BRUSH-1)</t>
  </si>
  <si>
    <t>PROBE-COVER-4X24</t>
  </si>
  <si>
    <t>Advance Probe Cover 4" x 24" (Ref: 20-P3D424)</t>
  </si>
  <si>
    <t>CORD-COVER-MICROAIRE</t>
  </si>
  <si>
    <t>Civco Cord cover MicroAire (Ref: 610-024)</t>
  </si>
  <si>
    <t>Y-TUBING-CONNECTOR-6IN1</t>
  </si>
  <si>
    <t>Medline 6 in 1 Y Tubing Connector (Ref: DYND50519)</t>
  </si>
  <si>
    <t>Y-TUBING-CONNECTOR-6IN1-8-11MM</t>
  </si>
  <si>
    <t>Busse 6 in 1 Y tubing connecter 8 to 11 mm (Ref: 508)</t>
  </si>
  <si>
    <t>Y-TUBING-CONNECTOR-6IN1-6-15MM</t>
  </si>
  <si>
    <t>Busse 6 in 1 Y tubing connecter 6 to 15 mm (Ref: 509)</t>
  </si>
  <si>
    <t>Medline Tonsil Sponge Double Strung (Ref: MDS78912)</t>
  </si>
  <si>
    <t>PEANUT-SPONGE</t>
  </si>
  <si>
    <t>Medline Peanut Sponge (Ref: MDS72038)</t>
  </si>
  <si>
    <t>BSS-IRRIGATION-15ML</t>
  </si>
  <si>
    <t>BSS Sterile Irrigation Solution 15ml (NDC: 0065-0795-15)</t>
  </si>
  <si>
    <t>BSS-IRRIGATION-500ML</t>
  </si>
  <si>
    <t>BSS Sterile Irrigation Solution 500ml (NDC: 0065-0795-50)</t>
  </si>
  <si>
    <t>SODIUM-CHLORIDE-IRRIGATION-500ML</t>
  </si>
  <si>
    <t>0.9% Sodium Chloride Irrigation 500ml (Ref: R5201-01)</t>
  </si>
  <si>
    <t>$4.27</t>
  </si>
  <si>
    <t>IOBAN-2</t>
  </si>
  <si>
    <t>Ioban 2 3M (Ref: 6650EZ)</t>
  </si>
  <si>
    <t>SURGICAL-GLOVES-LATEX-7.5</t>
  </si>
  <si>
    <t>Surgical Gloves Latex Size 7.5 (Ref: 5704499)</t>
  </si>
  <si>
    <t>SURGICAL-GLOVES-LATEX-7.5-MCKESSON</t>
  </si>
  <si>
    <t>Surgical Gloves Latex Size 7.5 McKesson (Ref: 201075N)</t>
  </si>
  <si>
    <t>SURGICAL-GLOVES-LATEX-7</t>
  </si>
  <si>
    <t>Surgical Gloves Latex Size 7 Criterion (Ref: 5704498)</t>
  </si>
  <si>
    <t>SURGICAL-GLOVES-LATEX-6.5</t>
  </si>
  <si>
    <t>Surgical Gloves Latex Size 6.5 (Ref: 5704497)</t>
  </si>
  <si>
    <t>SURGICAL-GLOVES-LATEX-6</t>
  </si>
  <si>
    <t>Surgical Gloves Latex Size 6 (Ref: 5704496)</t>
  </si>
  <si>
    <t>BIOGEL-SYNTH-GLOVES-7.5</t>
  </si>
  <si>
    <t>Biogel PI UltraTouch G Synthetic Gloves Size 7.5 (Ref: ALA42175)</t>
  </si>
  <si>
    <t>$2.1262</t>
  </si>
  <si>
    <t>BIOGEL-SYNTH-GLOVES-7</t>
  </si>
  <si>
    <t>Biogel PI UltraTouch G Synthetic Gloves Size 7 (Ref: ALA42170)</t>
  </si>
  <si>
    <t>BIOGEL-SYNTH-GLOVES-6.5</t>
  </si>
  <si>
    <t>Biogel PI UltraTouch G Synthetic Gloves Size 6.5 (Ref: ALA42165)</t>
  </si>
  <si>
    <t>BIOGEL-SYNTH-GLOVES-6</t>
  </si>
  <si>
    <t>Biogel PI UltraTouch G Synthetic Gloves Size 6 (Ref: ALA42160)</t>
  </si>
  <si>
    <t>PERRY-SYNTH-GLOVES-6</t>
  </si>
  <si>
    <t>Perry Synthetic Surgical Gloves Polyisoprene Size 6 (Ref: 20-2060N)</t>
  </si>
  <si>
    <t>$1.7326</t>
  </si>
  <si>
    <t>VICRYL-0-CP1</t>
  </si>
  <si>
    <t>0 Coated Vicryl CP-1  (Ref: J467)</t>
  </si>
  <si>
    <t>VICRYL-1-CP</t>
  </si>
  <si>
    <t>1 Coated Vicryl CP  (Ref: J480)</t>
  </si>
  <si>
    <t>VICRYL-PLUS-2-0-CTX-VIOLET</t>
  </si>
  <si>
    <t>2-0 Coated Vicryl Plus Antibacterial CTX (violet) (Ref: J316H)</t>
  </si>
  <si>
    <t>VICRYL-PLUS-2-0-CT1</t>
  </si>
  <si>
    <t>2-0 Coated Vicryl Plus CT-1 (Ref: VCP345H)</t>
  </si>
  <si>
    <t>VICRYL-PLUS-2-0-FS1</t>
  </si>
  <si>
    <t xml:space="preserve">2-0 Coated Vicryl Plus FS-1 (Ref: VCP443H) </t>
  </si>
  <si>
    <t>VICRYL-2-0-CT2</t>
  </si>
  <si>
    <t>2-0 Coated Vicryl CT-2  (Ref: J269H)</t>
  </si>
  <si>
    <t>VICRYL-PLUS-3-0-CT1-VIOLET</t>
  </si>
  <si>
    <t>3-0 Coated Vicryl Plus CT-1 Antibaterial (violet) (Ref: VCP338H)</t>
  </si>
  <si>
    <t>VICRYL-3-0-FS1</t>
  </si>
  <si>
    <t>3-0 Coated Vicryl FS-1 (Ref: VCP442H)</t>
  </si>
  <si>
    <t>VICRYL-3-0-SH-VIOLET</t>
  </si>
  <si>
    <t>3-0 Coated Vicryl SH (violet) (Ref: J316H)</t>
  </si>
  <si>
    <t>VICRYL-4-0-PS2</t>
  </si>
  <si>
    <t>4-0 Coated Vicryl PS-2 (Ref: J496g)</t>
  </si>
  <si>
    <t>VICRYL-5-0-PS2</t>
  </si>
  <si>
    <t>5-0 Coated Vicryl PS-2 (Ref: J495G)</t>
  </si>
  <si>
    <t>VICRYL-5-0-P3</t>
  </si>
  <si>
    <t>5-0 Coated Vicryl P-3 (Ref: J493G)</t>
  </si>
  <si>
    <t>STRATAFIX-0-CT</t>
  </si>
  <si>
    <t>0 Stratafix Antibacterial Knotless CT (Ref: SXPP1A406)</t>
  </si>
  <si>
    <t>PDS-PLUS-0-CT1-VIOLET</t>
  </si>
  <si>
    <t>0 PDS Plus Antibacterial CT-1 (violet) (Ref: PDP346H)</t>
  </si>
  <si>
    <t>PDS-PLUS-1-CTX-VIOLET</t>
  </si>
  <si>
    <t>1 PDS Plus Antibacterial CTX (violet) (Ref: PDP371T)</t>
  </si>
  <si>
    <t>PDS-II-2-0-FS1-UNDYED</t>
  </si>
  <si>
    <t>2-0 PDS II FS-1 (undyed)  (Ref: Z443H)</t>
  </si>
  <si>
    <t>PDS-II-2-0-CT1-VIOLET</t>
  </si>
  <si>
    <t>2-0 PDS II CT-1 violet (Ref: Z339H)</t>
  </si>
  <si>
    <t>PDS-II-3-0-PS2-CLEAR</t>
  </si>
  <si>
    <t>3-0 PDS II PS-2 (Clear) (Ref: Z497G)</t>
  </si>
  <si>
    <t>STRATAFIX-4-0-PS2</t>
  </si>
  <si>
    <t>4-0 Stratafix Antibacterial Knotless PS-2 (Ref: SXMP1B117)</t>
  </si>
  <si>
    <t>PDS-II-5-0-P3-VIOLET</t>
  </si>
  <si>
    <t>5-0 PDS II P-3 (violet) (Ref: Z463G)</t>
  </si>
  <si>
    <t>PDS-II-5-0-P2-CLEAR</t>
  </si>
  <si>
    <t>5-0 PDS II P-2 (clear) (Ref: Z495G)</t>
  </si>
  <si>
    <t>QUILL-PDO-0-CT1-BIDIR-VIOLET</t>
  </si>
  <si>
    <t>0 Quill PDO CT-1 Bi-Directional (violet) (Ref: SUSRA1065Q)</t>
  </si>
  <si>
    <t>MONOCRYL-0-CP1-UNDYED</t>
  </si>
  <si>
    <t>0 Monocryl CP-1 (undyed) (Ref: Y267H)</t>
  </si>
  <si>
    <t>ETHIBOND-0-CT1-GREEN</t>
  </si>
  <si>
    <t>0 Ethibond Excel CT-1 (green) (Ref: X424H)</t>
  </si>
  <si>
    <t>MONOCRYL-2-0-CT1-VIOLET</t>
  </si>
  <si>
    <t>2-0 Monocryl CT-1 (violet) (Ref: Y345H)</t>
  </si>
  <si>
    <t>QUILL-2-0-PS1-UNDYED</t>
  </si>
  <si>
    <t>2-0 Quill PS-1 (undyed) (Ref: YA2034Q)</t>
  </si>
  <si>
    <t>QUILL-3-0-PS1-BIDIR-UNDYED</t>
  </si>
  <si>
    <t>3-0 Quill PS-1 Bi-Directional (undyed) (Ref: YA2033Q)</t>
  </si>
  <si>
    <t>MONOCRYL-3-0-PS1-UNDYED</t>
  </si>
  <si>
    <t>3-0 Monocryl PS-1 (undyed) (Ref: Y936H)</t>
  </si>
  <si>
    <t>ETHIBOND-3-0-RB1-GREEN</t>
  </si>
  <si>
    <t>3-0 Ethibond Excel RB-1 (green) (Ref: X872H)</t>
  </si>
  <si>
    <t>MONOCRYL-4-0-PS2</t>
  </si>
  <si>
    <t>4-0 Monocryl PS-2 (Ref: Y426H)</t>
  </si>
  <si>
    <t>MONOCRYL-5-0-PS2-UNDYED</t>
  </si>
  <si>
    <t>5-0 Monocryl PS-2 (undyed)  (Ref: Y495G)</t>
  </si>
  <si>
    <t>ETHIBOND-2-0-V7-BIDIR</t>
  </si>
  <si>
    <t>2-0 Ethibond Excel V-7 Bi-Directional (Ref: PX64H)</t>
  </si>
  <si>
    <t>ETHILON-2-0-KS-BLACK</t>
  </si>
  <si>
    <t>2-0 Ethilon KS (black) (Ref: 628H)</t>
  </si>
  <si>
    <t>ETHILON-2-0-FS-BLACK</t>
  </si>
  <si>
    <t>2-0 Ethilon FS (black)  (Ref: 664H)</t>
  </si>
  <si>
    <t>ETHILON-3-0-FS1-BLACK</t>
  </si>
  <si>
    <t>3-0 Ethilon FS-1 (black) (Ref: 663G)</t>
  </si>
  <si>
    <t>ETHILON-4-0-PS2-UNDYED</t>
  </si>
  <si>
    <t>4-0 Ethilon PS-2 (undyed) (Ref: 1611G)</t>
  </si>
  <si>
    <t>NUROLON-4-0-SH-BLACK</t>
  </si>
  <si>
    <t>4-0 Nurolon SH (black) (Ref: C514D)</t>
  </si>
  <si>
    <t>ETHILON-5-0-P3-UNDYED</t>
  </si>
  <si>
    <t>5-0 Ethilon P-3 (undyed) (Ref: 690G)</t>
  </si>
  <si>
    <t>PROLENE-0-CT1-BLUE</t>
  </si>
  <si>
    <t>0 Prolene CT-1 (blue) (Ref: 8424H)</t>
  </si>
  <si>
    <t>QUILL-1-CT1-CLEAR</t>
  </si>
  <si>
    <t>1 Quill CT-1 (clear) (Ref: VLO1002)</t>
  </si>
  <si>
    <t>SHARPOINT-1-CT-BLUE</t>
  </si>
  <si>
    <t>1 Sharpoint CT (blue) (Ref: J8435N)</t>
  </si>
  <si>
    <t>QUILL-2-CT1-BIDIR-CLEAR</t>
  </si>
  <si>
    <t>2 Quill CT-1 Bi-Directional (clear)  (Ref: JA-1007Q)</t>
  </si>
  <si>
    <t>PERMA-HAND-SILK-2-0-FS-BLACK</t>
  </si>
  <si>
    <t>2-0 Perma-Hand Silk FS (black) (Ref: 685G)</t>
  </si>
  <si>
    <t>PROLENE-3-0-FS2-BLUE</t>
  </si>
  <si>
    <t>3-0 Prolene FS-2 (blue) (Ref: 8665G)</t>
  </si>
  <si>
    <t>PROLENE-4-0-PS2-BLUE</t>
  </si>
  <si>
    <t>4-0 Prolene PS-2 (blue) (Ref:8682G)</t>
  </si>
  <si>
    <t>PROLENE-5-0-PS2-BLUE</t>
  </si>
  <si>
    <t>5-0 Prolene PS-2 (blue)  (Ref: 8686G)</t>
  </si>
  <si>
    <t>PROLENE-6-0-P1-BLUE</t>
  </si>
  <si>
    <t>Ethicon 6-0 Prolene P-1 blue (Ref: 8697G)</t>
  </si>
  <si>
    <t>PERMA-HAND-SILK-6-0-P1-BLACK</t>
  </si>
  <si>
    <t>6-0 Perma-Hand Silk P-1 (black) (Ref: 639G)</t>
  </si>
  <si>
    <t>PROLENE-6-0-P3-BLUE</t>
  </si>
  <si>
    <t>6-0 Prolene P-3 (blue) (Ref: 8695G)</t>
  </si>
  <si>
    <t>PROLENE-6-0-C1-BIDIR-BLUE</t>
  </si>
  <si>
    <t>6-0 Prolene C-1 Bi-Directional (blue) (Ref: 8706H)</t>
  </si>
  <si>
    <t>PROLENE-7-0-P1-BLUE</t>
  </si>
  <si>
    <t>7-0 Prolene P-1 (blue) (Ref: 8696G)</t>
  </si>
  <si>
    <t>CHROMIC-GUT-3-0-CT1-UNDYED</t>
  </si>
  <si>
    <t>3-0 Chromic Gut CT-1 (undyed) (Ref: 922H)</t>
  </si>
  <si>
    <t>CHROMIC-GUT-4-0-SH</t>
  </si>
  <si>
    <t>4-0 Chromic Gut SH (Ref: G121H)</t>
  </si>
  <si>
    <t>EXPRESS-GUT-6-0-PC1</t>
  </si>
  <si>
    <t>6-0 Express Gut PC-1 (ref: B1916N)</t>
  </si>
  <si>
    <t>PTFE-3-0-DFS2-WHITE</t>
  </si>
  <si>
    <t>3-0 PTFE DFS-2 (white) (Ref: TE153019F4P)</t>
  </si>
  <si>
    <t>SKIN-STRIPS-1X4-WHITE</t>
  </si>
  <si>
    <t>Henry Schein Sterile Skin Strips 1" x 4" white (Ref: 900-7506)</t>
  </si>
  <si>
    <t>$0.2725</t>
  </si>
  <si>
    <t>SKIN-STRIPS-1X5-BROWN</t>
  </si>
  <si>
    <t>McKesson Sterile Skin Strips 1" x 5" Brown (MFR# 3005)</t>
  </si>
  <si>
    <t>$2.1628</t>
  </si>
  <si>
    <t>SKIN-CLOSURE-STRIPS-1-2X4</t>
  </si>
  <si>
    <t>McKesson Sterile Skin Closure Strips 1/2" x 4" (MFR# 3004)</t>
  </si>
  <si>
    <t>$0.4246</t>
  </si>
  <si>
    <t>SKIN-CLOSURE-STRIPS-1-4X4</t>
  </si>
  <si>
    <t>McKesson Sterile Skin Closure Strips 1/4" x 4" (MFR# 3003)</t>
  </si>
  <si>
    <t>$0.7884</t>
  </si>
  <si>
    <t>ABDOMINAL-PAD-5X9</t>
  </si>
  <si>
    <t>Medline Abdominal Pad 5" x 9" (Ref: NON21450)</t>
  </si>
  <si>
    <t>$0.0996</t>
  </si>
  <si>
    <t>TEGADERM-PAD</t>
  </si>
  <si>
    <t>3M Sterile Tegaderm + Pad (Ref: 3582)</t>
  </si>
  <si>
    <t>$0.3211</t>
  </si>
  <si>
    <t>XEROFORM-2X2</t>
  </si>
  <si>
    <t>Curad Xeroform 2" x 2" (Ref: CUR253220)</t>
  </si>
  <si>
    <t>XEROFORM-5X9</t>
  </si>
  <si>
    <t>Curad Xeroform 5" x 9" (Xeroform Petrolatum Dressing) (ref:CUR253590)</t>
  </si>
  <si>
    <t>BULKEE-GAUZE-4.5X4.1YD</t>
  </si>
  <si>
    <t>Medline Bulkee II Gauze bandage 4.5" x 4.1 yds (Ref:NON25865)</t>
  </si>
  <si>
    <t>$0.9100</t>
  </si>
  <si>
    <t>KERLIX-BANDAGE-2.25X9FT</t>
  </si>
  <si>
    <t>Kerlix Bandage (Bulkee II) 2.25" x 9ft (Ref: 6720)</t>
  </si>
  <si>
    <t>$0.7900</t>
  </si>
  <si>
    <t>KERLIX-BANDAGE-4.5X4.1YD</t>
  </si>
  <si>
    <t>Cardinal Health Kerlix Bandage Roll 4.5in x 4.1 yd (Ref: 6730)</t>
  </si>
  <si>
    <t>PLASTER-GAUZE-WRAP-5X5YD</t>
  </si>
  <si>
    <t>Plaster Gauze Wrap 5" x 5yd Artbands (Ref: MFG20220520)</t>
  </si>
  <si>
    <t>MEDIPORE-4IN-10YD</t>
  </si>
  <si>
    <t>Medipore 4" x 10yd white (Ref: 2864)</t>
  </si>
  <si>
    <t>$7.7900</t>
  </si>
  <si>
    <t>MICROPORE-1X10YD-BROWN</t>
  </si>
  <si>
    <t>3M Micropore 1" x 10yd Brown (Ref: 1533-1)</t>
  </si>
  <si>
    <t>$0.7283</t>
  </si>
  <si>
    <t>MICROPORE-1X10YD-WHITE</t>
  </si>
  <si>
    <t>3M Micropore 1" x 10 yd white (Ref: 1530-1)</t>
  </si>
  <si>
    <t>TRANSPORE-1X10YD</t>
  </si>
  <si>
    <t>3M Transpore 1" x 10 yd (Ref: 1527-1)</t>
  </si>
  <si>
    <t>ELASTIC-FOAM-TAPE-4X5.5YD</t>
  </si>
  <si>
    <t>Curad Elastic Foam Surgical Tape 4" x 5.5yd (ref: NON270604)</t>
  </si>
  <si>
    <t>ELASTIC-BANDAGE-2IN-5YD</t>
  </si>
  <si>
    <t>Medline Elastic Bandages 2" x 5yd (Ref: MDS087002LF)</t>
  </si>
  <si>
    <t>ELASTIC-BANDAGE-4IN-10YD</t>
  </si>
  <si>
    <t>Medline Elastic Bandages 4" x 10yd (Ref: MDS087104LF)</t>
  </si>
  <si>
    <t>MASTISOL-ADHESIVE-2-3ML</t>
  </si>
  <si>
    <t>Mastisol Liquid Adhesive 2/3ml (Ref: 0523-48)</t>
  </si>
  <si>
    <t>BACITRACIN-ZINC-0.9G</t>
  </si>
  <si>
    <t>Curad Bacitracin Zing Ointment 0.9g (Ref: CUR001109)</t>
  </si>
  <si>
    <t>$0.0574</t>
  </si>
  <si>
    <t>DERMABOND-MINI-0.72ML</t>
  </si>
  <si>
    <t>Dermabond Mini 0.72ml (Ref: DNX12)</t>
  </si>
  <si>
    <t>DERMABOND-MINI-0.36ML</t>
  </si>
  <si>
    <t>Dermabond Mini 0.36ml (Ref: DHVM12)</t>
  </si>
  <si>
    <t>DERMABOND-ADVANCED</t>
  </si>
  <si>
    <t>Ethicon Dermabond advanced (Ref: DNX12)</t>
  </si>
  <si>
    <t>GAUZE-SPONGES-4X4-STERILE</t>
  </si>
  <si>
    <t>Medline Gauze Sponges 4 x 4 Sterile (Ref: NON2126)</t>
  </si>
  <si>
    <t>GAUZE-SPONGES-3X3-STERILE</t>
  </si>
  <si>
    <t>Cardinal Health Gauze Sponges 3 x 3 Sterile (Ref: 8043)</t>
  </si>
  <si>
    <t>$0.352</t>
  </si>
  <si>
    <t>GAUZE-SPONGES-2X2-STERILE</t>
  </si>
  <si>
    <t>Medline Gauze Sponges 2 x 2 Sterile (Ref:NON21420)</t>
  </si>
  <si>
    <t>GAUZE-SPONGES-2X2-NONSTERILE</t>
  </si>
  <si>
    <t>Medline Gauze Sponges 2 x 2 Non-sterile (ref: NON25212)</t>
  </si>
  <si>
    <t>200/pack</t>
  </si>
  <si>
    <t>GAUZE-SPONGES-4X4-NONSTERILE</t>
  </si>
  <si>
    <t>Medline Gauze Sponges 4x4 Non-sterile (Ref: NON25408)</t>
  </si>
  <si>
    <t>NONADHERENT-PAD-3X4</t>
  </si>
  <si>
    <t>Non-Adherent Pad 3in x 4in (Ref: MPR60733)</t>
  </si>
  <si>
    <t>ECG-ELECTRODE-GENERAL</t>
  </si>
  <si>
    <t>General Monitor ECG Electrode (Ref: MDSM611503Z)</t>
  </si>
  <si>
    <t>IV-START-KIT</t>
  </si>
  <si>
    <t>Medline IV Start Kit (Ref:DYND74176)</t>
  </si>
  <si>
    <t>LACTATED-RINGER-1000ML</t>
  </si>
  <si>
    <t>Lactated Ringer Injection 1000ml (Ref: L7500)</t>
  </si>
  <si>
    <t>LACTATED-RINGER-500ML</t>
  </si>
  <si>
    <t>Lactated Ringer Injection 500ml (Ref: L7501)</t>
  </si>
  <si>
    <t>SODIUM-CHLORIDE-INJ-1000ML</t>
  </si>
  <si>
    <t>0.9% Sodium Chloride Injection 1000ml (Ref: 2B1324X)</t>
  </si>
  <si>
    <t>$4.7500</t>
  </si>
  <si>
    <t>SODIUM-CHLORIDE-INJ-500ML</t>
  </si>
  <si>
    <t>0.9% Sodium Chloride Injection 500ml (Ref: Q8001)</t>
  </si>
  <si>
    <t>SODIUM-CHLORIDE-INJ-250ML</t>
  </si>
  <si>
    <t>0.9% Sodium Chloride Injection 250ml (Ref: 8002)</t>
  </si>
  <si>
    <t>$3.3000</t>
  </si>
  <si>
    <t>SODIUM-CHLORIDE-10ML</t>
  </si>
  <si>
    <t>BD 0.9% Sodium Chloride Injection 10ml (Ref:306547)</t>
  </si>
  <si>
    <t>IV-CATHETER-AUTOGUARD-20G-1IN</t>
  </si>
  <si>
    <t>Shielded IV Catheter w/Autoguard 20G x 1" (Ref: 382533)</t>
  </si>
  <si>
    <t>$1.7824</t>
  </si>
  <si>
    <t>IV-CATHETER-AUTOGUARD-22G-1IN</t>
  </si>
  <si>
    <t>BD Shielded IV Catheter w/Autoguard 22 G x 1" (Ref: 382523)</t>
  </si>
  <si>
    <t>$2.3300</t>
  </si>
  <si>
    <t>IV-ADMIN-MEDL</t>
  </si>
  <si>
    <t>Medline IV Administration Set (Ref: DYNDTA1530)</t>
  </si>
  <si>
    <t>IV-ADMIN-BRAUN</t>
  </si>
  <si>
    <t>Braun IV Administration set 15 drops (RefL 354203)</t>
  </si>
  <si>
    <t>BLOOD-COLLECTION-SET-ONGUARD</t>
  </si>
  <si>
    <t>Medline OnGuard Blood Collection Set (Ref:OGBCS21GT)</t>
  </si>
  <si>
    <t>SALEM-SUMP-STOMACH-TUBE</t>
  </si>
  <si>
    <t>Salem Sump Dual Lumen Stomach Tube (ref:8888264960)</t>
  </si>
  <si>
    <t>$1.56</t>
  </si>
  <si>
    <t>ANESTHESIA-CIRCUIT</t>
  </si>
  <si>
    <t>Medline Anesthesia Circuit (Ref: DYNJAA0110)</t>
  </si>
  <si>
    <t>$9.4815</t>
  </si>
  <si>
    <t>ET-TUBE-STYLET-6.5</t>
  </si>
  <si>
    <t>Medsource Endotracheal Tube Cuffet Stylet Size 6.5 (Ref: MS-23465)</t>
  </si>
  <si>
    <t>$2.9800</t>
  </si>
  <si>
    <t>GUEDEL-AIRWAY-SZ5</t>
  </si>
  <si>
    <t>RUSCH Guedel Airway Size 5 (ref: 1226100)</t>
  </si>
  <si>
    <t>GUEDEL-AIRWAY-90MM</t>
  </si>
  <si>
    <t>McKesson Guedel Airway 90mm (MFR# 16-291G)</t>
  </si>
  <si>
    <t>GUEDEL-AIRWAY-90MM-CLEAR</t>
  </si>
  <si>
    <t>Medline Guedel Airway 90mm (Ref: DYNJGUED90)</t>
  </si>
  <si>
    <t>MEDISORB</t>
  </si>
  <si>
    <t>Airlife Medisorb (Ref: M1173310)</t>
  </si>
  <si>
    <t>PROPOFOL-10MG-ML</t>
  </si>
  <si>
    <t>Propofol Injectable 10mg/ml (NDC: 23155-345-44)</t>
  </si>
  <si>
    <t>PROPOFOL-500MG-50ML</t>
  </si>
  <si>
    <t>Porpofol Injectable 500mg/50ml (NDC: 16714-977-20)</t>
  </si>
  <si>
    <t>FENTANYL-50MCG-ML-VIAL</t>
  </si>
  <si>
    <t>Fentanyl Citrate 50mcg/ml vl (Ref: 0409-9094-12)</t>
  </si>
  <si>
    <t>1 vl</t>
  </si>
  <si>
    <t>LIDOCAINE-1-50ML</t>
  </si>
  <si>
    <t>Lidocaine 1% 10mg/ml  50ml (NDC: 0143-9577-01)</t>
  </si>
  <si>
    <t>1vl</t>
  </si>
  <si>
    <t>LIDOCAINE-2-20ML</t>
  </si>
  <si>
    <t>Camber Lidocaine 2% 20mg/ml 20ml  (NDC: 31722-217-31)</t>
  </si>
  <si>
    <t>$1.1552</t>
  </si>
  <si>
    <t>LIDOCAINE-HCL-2-20MG-ML</t>
  </si>
  <si>
    <t>NALOXONE-0.4MG-ML</t>
  </si>
  <si>
    <t>EPINEPHRINE-1MG-30ML</t>
  </si>
  <si>
    <t>Epinephrine 1mg/ml 30ml (BDC: 76329-9060-0)</t>
  </si>
  <si>
    <t>EPINEPHRINE-1MG-ML</t>
  </si>
  <si>
    <t>SODIUM-BICARBONATE-8.4PCT</t>
  </si>
  <si>
    <t>8.4% Sodium Bicarbonate Injection 1mEq/ml (NDC: 51754500104)</t>
  </si>
  <si>
    <t>KETAMINE-50MG-ML</t>
  </si>
  <si>
    <t>Ketamine Hydrochloride 50mg/ml (NDC: 25021-683-10)</t>
  </si>
  <si>
    <t>ROCURONIUM-10MG-ML-5ML</t>
  </si>
  <si>
    <t>Rocuronium Bromide 10mg/ml 5ml/vl (NDC: 71288070006)</t>
  </si>
  <si>
    <t>SUCCINYLCHOLINE-20MG-ML-10ML</t>
  </si>
  <si>
    <t>Succinylcholine Chloride 20mg/ml 10ml/vl  (NDC: 31722098131)</t>
  </si>
  <si>
    <t>SEVOFLURANE-250ML</t>
  </si>
  <si>
    <t>Sevoflurane 250 ml/bt (NDC: 0527-6123-74)</t>
  </si>
  <si>
    <t>ONDANSETRON-2MG-ML</t>
  </si>
  <si>
    <t>Zofran (Ondanestron) 2mg/ml (NDC: 60505613005)</t>
  </si>
  <si>
    <t>DEXTROSE-50PCT-50ML</t>
  </si>
  <si>
    <t>HEPARIN-5000U-1ML</t>
  </si>
  <si>
    <t>Heparin 5000 1ml (NDC: 25021-402-01)</t>
  </si>
  <si>
    <t>DEXAMETHASONE-10MG-ML</t>
  </si>
  <si>
    <t>Dexamethasone Sodium Phosphate 10mg/ml (NDC: 633323-506-01)</t>
  </si>
  <si>
    <t>METOCLOPRAMIDE-5MG-ML</t>
  </si>
  <si>
    <t>MetoclopramideInjection 5mg/ml (NDC: 23155024041)</t>
  </si>
  <si>
    <t>CEFAZOLIN-1G-VIAL</t>
  </si>
  <si>
    <t>Cefazolin 1g/vial price per item for 1 vl (NDC: 60505-6142-5)</t>
  </si>
  <si>
    <t>FAMOTIDINE-10MG-ML</t>
  </si>
  <si>
    <t>Famotidine Injection 10mg/ml (NDC: 25021075302)</t>
  </si>
  <si>
    <t>CALCIUM-CHLORIDE-10PCT-1G-10ML</t>
  </si>
  <si>
    <t>10% Calcium Chloride Injection 1g/10ml (NDC: 76329-3304-1)</t>
  </si>
  <si>
    <t>EPINEPHRINE-1MG-10ML</t>
  </si>
  <si>
    <t>ATROPINE-1MG-10ML</t>
  </si>
  <si>
    <t>NEOSTIGMINE-1MG-ML</t>
  </si>
  <si>
    <t>Neostigmine Methylsulfate 1mg/ml (NDC: 0641-6149-10)</t>
  </si>
  <si>
    <t>$10.3560</t>
  </si>
  <si>
    <t>GLYCOPYRROLATE-0.2MG-ML-MEITHEAL</t>
  </si>
  <si>
    <t>Meitheal Glycopyrrolate Injection 0.2mg/ml (NDC: 71288-414-03)</t>
  </si>
  <si>
    <t>$1.7696</t>
  </si>
  <si>
    <t>ESMOLOL-10MG-ML-10ML</t>
  </si>
  <si>
    <t>Esmolol Hydrochloride 10mg/ml 1vl/10ml (NDC: 55150-194-10)</t>
  </si>
  <si>
    <t>ESMOLOL-100MG-10ML</t>
  </si>
  <si>
    <t>FLUMAZENIL-5MG-5ML</t>
  </si>
  <si>
    <t>LABETALOL-5MG-ML</t>
  </si>
  <si>
    <t>Labetalol Hydrochloride 5mg/ml (NDC: 72266-103-01)</t>
  </si>
  <si>
    <t>EPHEDRINE-50MG-ML</t>
  </si>
  <si>
    <t>Ephedrine Sulfate 50mg/ml (NDC: 0781-3269-95)</t>
  </si>
  <si>
    <t>TRANEXAMIC-ACID-1000MG-10ML</t>
  </si>
  <si>
    <t>Sagent TXA (Tranexamic Acid) 1000mg/10ml (NDC: 25021-415-10)</t>
  </si>
  <si>
    <t>HYDRALAZINE-20MG-1ML</t>
  </si>
  <si>
    <t>Hydralazine 20mg/1ml (NDC: 633323-613-01)</t>
  </si>
  <si>
    <t>METOPROLOL-5MG-5ML</t>
  </si>
  <si>
    <t>Metoprolol Tartrate 5mg/5ml (NDC: 36000-033-10)</t>
  </si>
  <si>
    <t>PHENYLEPHRINE-10MG-ML</t>
  </si>
  <si>
    <t>DIPHENHYDRAMINE-50MG-ML</t>
  </si>
  <si>
    <t>Diphenhydramine  50MG/ML (NDC: 0641-0376-25)</t>
  </si>
  <si>
    <t>CLINDAMYCIN-150MG-ML</t>
  </si>
  <si>
    <t>Clindamycin  150MG/ML (Ref: 25021011502)</t>
  </si>
  <si>
    <t>ALBUTEROL-2.5MG-3ML</t>
  </si>
  <si>
    <t>Albuterol Sulfate Inhalation Solution 2.5mg/3ml (NDC: 76204-200-01)</t>
  </si>
  <si>
    <t>KETOROLAC-30MG-ML</t>
  </si>
  <si>
    <t>Ketorolac Tromethamine 30mg/ml (Ref: 72266011825)</t>
  </si>
  <si>
    <t>$0.5036</t>
  </si>
  <si>
    <t>PRECEDEX-80MCG-20ML</t>
  </si>
  <si>
    <t>Precedex 80mcg/20ml 1vl/20ml (NDC: 0409-1660-20)</t>
  </si>
  <si>
    <t>HYDROMORPHONE-1MG-ML</t>
  </si>
  <si>
    <t>HYDROMORPHONE-2MG-ML</t>
  </si>
  <si>
    <t>POLYVINYL-ALCOHOL-EYEDROPS-1.4PCT-15ML</t>
  </si>
  <si>
    <t>EXPAREL-13.3MG-ML</t>
  </si>
  <si>
    <t>Exparel 13.3mg/ml  (Ref: 6525026609)</t>
  </si>
  <si>
    <t>BUPIVACAINE-5MG-ML</t>
  </si>
  <si>
    <t>Bupivacaine 5mg/ml  (NDC: 0143-9331-10)</t>
  </si>
  <si>
    <t>ROPIVACAINE-0.5PCT-30ML</t>
  </si>
  <si>
    <t>Ropivacaine 0.5% 5mg/ml 1vl/30ml (NDC: 70069-064-01)</t>
  </si>
  <si>
    <t>VERAPAMIL-2.5MG-1ML</t>
  </si>
  <si>
    <t>Verapamil Hydrochloride 2.5mg/1ml (NDC: 67850-071-05)</t>
  </si>
  <si>
    <t>MAG-SULFATE-50PCT-500MG-ML</t>
  </si>
  <si>
    <t>Camber Magnesium Sulfate 50% 500mg/ml (NDC: 31722-394-33)</t>
  </si>
  <si>
    <t>$1.4272</t>
  </si>
  <si>
    <t>MAG-SULFATE-40MG-ML</t>
  </si>
  <si>
    <t>Magnesium Sulfate in Water for Injection 40mg/ml (NDC: 0264-4206-54)</t>
  </si>
  <si>
    <t>1bag</t>
  </si>
  <si>
    <t>ACETAMINOPHEN-10MG-ML</t>
  </si>
  <si>
    <t>Acetaminophen Injection 10mg/ml (Ref: DA4100) (NDC: 0264-4100-90)</t>
  </si>
  <si>
    <t>$9.7354</t>
  </si>
  <si>
    <t>1 bag</t>
  </si>
  <si>
    <t>FUROSEMIDE-10MG-ML</t>
  </si>
  <si>
    <t>Furosemid Injection 10mg/ml (NDC: 71288-203-03)</t>
  </si>
  <si>
    <t>GENTAMICIN-40MG-ML</t>
  </si>
  <si>
    <t>Gentamicin Injection 40mg/ml (NDC: 633323-010-02)</t>
  </si>
  <si>
    <t>SCOPOLAMINE-PATCH-1MG-3DAY</t>
  </si>
  <si>
    <t>PROMETHAZINE-25MG-ML</t>
  </si>
  <si>
    <t>MIDAZOLAM-2MG-2ML</t>
  </si>
  <si>
    <t>Midazolam injection 2mg/2ml (NDC: 21355-600-41)</t>
  </si>
  <si>
    <t>MIDAZOLAM-5MG-5ML</t>
  </si>
  <si>
    <t>MIDAZOLAM-10MG-10ML</t>
  </si>
  <si>
    <t>DOPAMINE-HCL</t>
  </si>
  <si>
    <t>INSTANT-COLD-PACK</t>
  </si>
  <si>
    <t>Medline Instant Cold Pack (Ref: MDS137020)</t>
  </si>
  <si>
    <t>HEAD-POSITIONER-RING</t>
  </si>
  <si>
    <t>Medline Ring Head Positioner (Ref: NON081141E)</t>
  </si>
  <si>
    <t>HEAD-POSITIONER-ADULT-FLAT-PURPLE</t>
  </si>
  <si>
    <t>Medline Adult Head Positioner (Ref: NON081144) puple flat</t>
  </si>
  <si>
    <t>1,8</t>
  </si>
  <si>
    <t>GAS-SAMPLING-LINE-01</t>
  </si>
  <si>
    <t>Gas Sampling Line (Ref:DYNJAA04) Medline</t>
  </si>
  <si>
    <t>CO2-SAMPLING-CANNULA-ADULT</t>
  </si>
  <si>
    <t>McKesson CO2 Sampling Cannula Adult (MFR# 16-0581)</t>
  </si>
  <si>
    <t>NASAL-CANNULA-7FT</t>
  </si>
  <si>
    <t>Hudson RCI Adult Nasal Cannula with 7ft Star Lumen Tubing (ref:1103)</t>
  </si>
  <si>
    <t>NASAL-CANNULA-FLARED</t>
  </si>
  <si>
    <t>Hudson RCI Adult Nasal Cannula with Flared Nasal Tips (ref:1104)</t>
  </si>
  <si>
    <t>NASAL-CANNULA-OTE</t>
  </si>
  <si>
    <t>Medline/Hudson RCI Over-the-ear Nasal Cannula (ref:HUD1103)</t>
  </si>
  <si>
    <t>SUTURE-REMOVAL-TRAY</t>
  </si>
  <si>
    <t>Medline Suture Removal Tray (Ref:DYNJ07254A)</t>
  </si>
  <si>
    <t>SKINUVA-SCAR</t>
  </si>
  <si>
    <t>Skinuva scar 50 mL</t>
  </si>
  <si>
    <t>SKINUVA-SCAR-PLUS</t>
  </si>
  <si>
    <t>Skinuva scar + 50mL</t>
  </si>
  <si>
    <t>CAVIWIPES</t>
  </si>
  <si>
    <t>CaviWipes (disinfecting towels)</t>
  </si>
  <si>
    <t>IV-SECONDARY-40IN</t>
  </si>
  <si>
    <t>Medline 40" IV Secondary set (Ref: DYNDTA1540)</t>
  </si>
  <si>
    <t>MICROBORE-EXT-SET-HS</t>
  </si>
  <si>
    <t>MICROBORE-EXT-SET-MS</t>
  </si>
  <si>
    <t>MedStream 12" Extension Set Minibore (ref: MS438)</t>
  </si>
  <si>
    <t>TONGUE-DEPRESSORS</t>
  </si>
  <si>
    <t>Tongue Depressors (Ref: MDS202065)</t>
  </si>
  <si>
    <t>500/box</t>
  </si>
  <si>
    <t>MEDIPORE-2IN-10YD</t>
  </si>
  <si>
    <t>Medipore 2" x 10YD/V white (Ref: 2862)</t>
  </si>
  <si>
    <t>ASPIRATION-TUBING-TAPERED</t>
  </si>
  <si>
    <t>First Call Tubing Tapered aspiration tubing (Ref:AR1159)</t>
  </si>
  <si>
    <t>TRANSITION-TUBING</t>
  </si>
  <si>
    <t>Custom Medical Specialties Transition Tubing (Ref: CMS-1228)</t>
  </si>
  <si>
    <t>BAG-DECANTER-II</t>
  </si>
  <si>
    <t>Medline Bag Decanter II (Ref:2002S)</t>
  </si>
  <si>
    <t>BAG-DECANTER-9IN</t>
  </si>
  <si>
    <t>Medline Bag Decanter 9in (Ref:DYNJFEC09)</t>
  </si>
  <si>
    <t>ELECTROSURG-TIP-CLEANER</t>
  </si>
  <si>
    <t>Medline Electrosurgican tip cleaner (Ref: DYNJ01208)</t>
  </si>
  <si>
    <t>SURGICAL-GOWN-REINFORCED-L</t>
  </si>
  <si>
    <t>Cardinal Health Fabric Reinforced Surgical Gown L (Ref: 9511)</t>
  </si>
  <si>
    <t>SURGICAL-GOWN-REINFORCED-XL</t>
  </si>
  <si>
    <t>Cardinal Health Fabric Reinforced Surgical Gown XL (Ref: 9541)</t>
  </si>
  <si>
    <t>SUCTION-CATHETER-CHIMNEY</t>
  </si>
  <si>
    <t>CardinalHealth Suction Catheter with Chimney Valve (Ref:31000)</t>
  </si>
  <si>
    <t>INTRODUCER-BOUGIE</t>
  </si>
  <si>
    <t>SunMed Introducer / Bougie (Ref: 9021270)</t>
  </si>
  <si>
    <t>ORAL-RAE-TRACH-TUBE</t>
  </si>
  <si>
    <t>Covidien Shiley Oral RAE Tracheal Tube (Ref:76265)</t>
  </si>
  <si>
    <t>INTUBATING-STYLET-MEDLINE</t>
  </si>
  <si>
    <t>Medline Intubating Stylet (Ref: DYNJSTY14F)</t>
  </si>
  <si>
    <t>INTUBATING-STYLET</t>
  </si>
  <si>
    <t>Covidien Shiley Intubating Stylet (Ref:85865)</t>
  </si>
  <si>
    <t>ET-TUBE-STYLET-6.0</t>
  </si>
  <si>
    <t>MedSource Endotracheal Tube Cuffet Stylet Size 6.0 (Ref: MS-23460)</t>
  </si>
  <si>
    <t>NASOPHARYNGEAL-AIRWAY-ROBERTAZZI</t>
  </si>
  <si>
    <t>RUSCH Robertazzi Nasopharyngeal Airway (Ref:123128)</t>
  </si>
  <si>
    <t>ET-TUBE-STYLET-8.0</t>
  </si>
  <si>
    <t>Medsource Endotracheal Tube &amp; Stylet Size 8.0 (Ref: MS-23480)</t>
  </si>
  <si>
    <t>ET-TUBE-STYLET-7.5</t>
  </si>
  <si>
    <t>Medsource Endotracheal Tube Cuffet Stylet Size 7.5 (Ref: MS-23475)</t>
  </si>
  <si>
    <t>ET-TUBE-STYLET-7.0</t>
  </si>
  <si>
    <t>Medsource Endotracheal Tube Cuffet Stylet Size 7.0 (Ref: MS-23470)</t>
  </si>
  <si>
    <t>LARYNGEAL-MASK-SZ3</t>
  </si>
  <si>
    <t>Medline Laryngeal Mask Size 3 (Ref: DYND300030S)</t>
  </si>
  <si>
    <t>LARYNGEAL-MASK-SZ4</t>
  </si>
  <si>
    <t>Medline Laryngeal Mask Size 4 (Ref: DYND300040S)</t>
  </si>
  <si>
    <t>LARYNGEAL-MASK-SZ5</t>
  </si>
  <si>
    <t>Medline Laryngeal Mask Size 5 (Ref: DYND300050S)</t>
  </si>
  <si>
    <t>BERMAN-AIRWAY-80MM</t>
  </si>
  <si>
    <t>McKesson Berman Airway 80 mm (Ref: 16-281B)</t>
  </si>
  <si>
    <t>NASOPHARYNGEAL-AIRWAY-134MM</t>
  </si>
  <si>
    <t>Medline Airway Nasopharyngeal Medline 134mm (Ref: DYNJNASO28)</t>
  </si>
  <si>
    <t>STEAM-INDICATOR-STRIPS</t>
  </si>
  <si>
    <t>Steam indicator strips (Ref: 102-6332) Henry Schein</t>
  </si>
  <si>
    <t>250/box</t>
  </si>
  <si>
    <t>PLAIN-PACKING-STRIP-0.5IN</t>
  </si>
  <si>
    <t>Curad Plain Packing Strip 0.5" x 5 yds (Ref: NON255125)</t>
  </si>
  <si>
    <t>AMD-PACKING-STRIPS</t>
  </si>
  <si>
    <t>CardinalHealth AMD Antimicrobial Packing Strips (Ref: 7832AMD)</t>
  </si>
  <si>
    <t>ELASTIC-BANDAGE-HOOKLOCK-4IN-5YD</t>
  </si>
  <si>
    <t xml:space="preserve">Hook Lock Elastic Bandage 4" x 5 Yd (Red: 6611-40) </t>
  </si>
  <si>
    <t>LENS-SCREEN-WIPES</t>
  </si>
  <si>
    <t>Lens &amp; Screen Cleaning wipes (MedPride) MPR-41002 QTY:200/box</t>
  </si>
  <si>
    <t>EENT-SPLIT-DRAPE-3.5X24-LVL4</t>
  </si>
  <si>
    <t>EENT Split Drape 3.5" x 24" Lvl 4 (Ref: DYNJP7001)</t>
  </si>
  <si>
    <t>$5.2888</t>
  </si>
  <si>
    <t>FULL-BODY-EYE-DRAPE-LVL4</t>
  </si>
  <si>
    <t>Medline Full Body Eye Drape Lvl 4 (Red: DYNJP7006)</t>
  </si>
  <si>
    <t>SPLIT-DRAPE-ADHESIVE-4X40-LVL4</t>
  </si>
  <si>
    <t>Split Drape with Adhesive 4x40" Lvl 4 (Ref: DYNJP8304A)</t>
  </si>
  <si>
    <t>ABSORBENT-TRAY-LINER-20X25</t>
  </si>
  <si>
    <t>Absorbent Tray Liner 20" x 25" (ref: 48139) Halyard</t>
  </si>
  <si>
    <t>ECG-PAPER-50MMX20M</t>
  </si>
  <si>
    <t>Tian Yin Chart ECG Recording Paper 50mmx20m</t>
  </si>
  <si>
    <t>HAIR-BRUSHES-7.5IN</t>
  </si>
  <si>
    <t>Hair Brushes 7.5 In McKesson (MFR# 955)</t>
  </si>
  <si>
    <t>SAFELET-CATHETER-22G-1IN</t>
  </si>
  <si>
    <t>Exel Safelet Catheter 22g x 1" (Ref: 26746)</t>
  </si>
  <si>
    <t>SAFELET-CATHETER-20G-1.25IN</t>
  </si>
  <si>
    <t>Exel Safelet Catheter 20g x 1.25" (Ref: 26742)</t>
  </si>
  <si>
    <t>FABRIC-STRIPS-1X3</t>
  </si>
  <si>
    <t>Flexible fabric strips 1" x 3" 100/box (Ref:112-6133)</t>
  </si>
  <si>
    <t>BATHING-WIPES-PACK</t>
  </si>
  <si>
    <t>Nurture Bathing Wipes pack</t>
  </si>
  <si>
    <t>10/pack</t>
  </si>
  <si>
    <t>SURGICAL-MASK-TIES</t>
  </si>
  <si>
    <t>Surgical Face Mask with ties (ref: NON27378)</t>
  </si>
  <si>
    <t>50/box</t>
  </si>
  <si>
    <t>FLUIDSHIELD3-N95-MASK</t>
  </si>
  <si>
    <t>Fluidshield 3 N95 Particulat filter respirator and surgical mask (ref: 46727)</t>
  </si>
  <si>
    <t>POVIDONE-IODINE-EZ-SCRUB</t>
  </si>
  <si>
    <t>BD Povidone iodine E-Z Scrub (ref:372053)</t>
  </si>
  <si>
    <t>CHG-SCRUB-4PCT-EZ107</t>
  </si>
  <si>
    <t>4% CHG BD E-Z Scrub 107 (ref: 371073)</t>
  </si>
  <si>
    <t>SURGICAL-SCRUB-BRUSH</t>
  </si>
  <si>
    <t>Scrub-In Surgical Scrub Brush (ref:DYND371603)</t>
  </si>
  <si>
    <t>ISOPROPYL-ALCOHOL-70PCT</t>
  </si>
  <si>
    <t>70% Isopropyl Rubbing Alcohol Henry Schein (ref:1127067)</t>
  </si>
  <si>
    <t>BETADINE-10PCT</t>
  </si>
  <si>
    <t>Henry Schein Betadine Solution 10% Povidone-iodine 16 oz (Ref: 6906960)</t>
  </si>
  <si>
    <t>ULTRASOUND-GEL-8.5OZ</t>
  </si>
  <si>
    <t>Ultrasound Gel Clear 8.5 oz Mckesson (MFR# 4963)</t>
  </si>
  <si>
    <t>WOUND-SKIN-SOLUTION-16.9OZ</t>
  </si>
  <si>
    <t>Wound &amp; Skin Care Solution 16.9 fl oz (MFR# 186-6004)</t>
  </si>
  <si>
    <t>HYDROGEN-PEROXIDE-3PCT</t>
  </si>
  <si>
    <t>Henry Schein 3% Hydrogen Peroxide Solution (Ref: 112-7069)</t>
  </si>
  <si>
    <t>ALCOHOL-PREP-WEBCOL</t>
  </si>
  <si>
    <t>Webcol Alcohol Prep (ref:6818) Cardinal Health</t>
  </si>
  <si>
    <t>SKIN-STAPLER-35R</t>
  </si>
  <si>
    <t>Henry Schein Skin Stabler 35R (ref:5702957)</t>
  </si>
  <si>
    <t>OCTENISEPT-WOUND-SPRAY</t>
  </si>
  <si>
    <t>Octeni sept Wound Desinfection Spray</t>
  </si>
  <si>
    <t>SKIN-STAPLE-REMOVER</t>
  </si>
  <si>
    <t>Medline Skin Staple Remover (ref: DYNj04058Z)</t>
  </si>
  <si>
    <t>PTFE-CTD-NEEDLE-EXT-6IN</t>
  </si>
  <si>
    <t>Medline PTFE CTD Needle EXT INS 6" (ref: EST0016M)</t>
  </si>
  <si>
    <t>SKIN-STAPLE-REMOVER-KIT</t>
  </si>
  <si>
    <t>Skin Staple Remover Kit (Ref: DYNJ04062)</t>
  </si>
  <si>
    <t>DURAPORE-1X10YD</t>
  </si>
  <si>
    <t>3M Durapore 1" x 10 yd (Ref: 1538-1)</t>
  </si>
  <si>
    <t>FITGUARD-TOUCH-M</t>
  </si>
  <si>
    <t>FitGuard touch Medium (ref:FG100M)</t>
  </si>
  <si>
    <t>IV-EXT-SET-2Y-35IN</t>
  </si>
  <si>
    <t>Medline 35" IV Extension Set with 2 Needle Free Y-Sites (Ref: DYNDTN1516)</t>
  </si>
  <si>
    <t>IV-GRAVITY-2Y-96IN</t>
  </si>
  <si>
    <t>Medline 96" IV Gravity Set w/2 needle free Y-sites (Ref: DYNDTN1512)</t>
  </si>
  <si>
    <t>MEASURING-CUP-230ML</t>
  </si>
  <si>
    <t>Measuring Cup Plastic 230mL</t>
  </si>
  <si>
    <t>SPECIMEN-CUP</t>
  </si>
  <si>
    <t>GongDong Sterile Specimen Collector 90mL</t>
  </si>
  <si>
    <t>LOWER-BODY-WARMING-BLANKET</t>
  </si>
  <si>
    <t>3M Lower Body Warming Blanket (Ref: 42568)</t>
  </si>
  <si>
    <t>DISPOSABLE-BRIEFS-MENS-BLACK</t>
  </si>
  <si>
    <t>Men's Black Briefs Disposable</t>
  </si>
  <si>
    <t>6/pack</t>
  </si>
  <si>
    <t>AQUASONIC-100-GEL-STERILE</t>
  </si>
  <si>
    <t>Sterile Aquasonic 100 Ultrasound transmission gel (Ref: 01-01)</t>
  </si>
  <si>
    <t>EMESIS-BAG</t>
  </si>
  <si>
    <t>Emesis Bag with Rigid Plastic Ring (Ref: NON80328)</t>
  </si>
  <si>
    <t>THREE-WAY-STOPCOCK</t>
  </si>
  <si>
    <t>Three way stopcock E.O sterilized (MFG:20250310)</t>
  </si>
  <si>
    <t>BABY-SHAMPOO-BODYWASH-30ML</t>
  </si>
  <si>
    <t>Medline baby shampoo and bodywash 30ml</t>
  </si>
  <si>
    <t>SILICONE-EARPLUGS-MOLDABLE</t>
  </si>
  <si>
    <t xml:space="preserve">Lysian Modable Silicone Airplugs </t>
  </si>
  <si>
    <t>MAXI-PAD-9IN</t>
  </si>
  <si>
    <t>Medline Regular Maxi Pad 9in (Ref: NON241278)</t>
  </si>
  <si>
    <t>OXYGEN-FLOWMETER-0-15LPM</t>
  </si>
  <si>
    <t>Amico Oxygen Flowmeter 0-155LPM Thrope tube (Ref: FMO15U-A05287FA)</t>
  </si>
  <si>
    <t>VIDEO-LARYNGOSCOPE-IVIEW</t>
  </si>
  <si>
    <t>Intersurgical i-view video laryngoscope (Ref:8008000)</t>
  </si>
  <si>
    <t>EMESIS-BASIN-500ML</t>
  </si>
  <si>
    <t>Medline Plastic Emesis Basin, 500 mL (Ref: DYND80327H)</t>
  </si>
  <si>
    <t>FRACTURE-BEDPAN</t>
  </si>
  <si>
    <t>Medline Fracture Bedpan (Ref: DYNC8522/8522H)</t>
  </si>
  <si>
    <t>MALE-URINAL-32OZ</t>
  </si>
  <si>
    <t>McKesson Male Urinal 32oz. (Ref:56-80235S)</t>
  </si>
  <si>
    <t>PILLOW</t>
  </si>
  <si>
    <t>Medline Pillow (Ref: CLN0897120)</t>
  </si>
  <si>
    <t>ISOPROPYL-ALCOHOL-70PCT-MEDLINE</t>
  </si>
  <si>
    <t>Medline 70 % Isopropyl Alcohol (Ref: MCHEM145)</t>
  </si>
  <si>
    <t>FORMALIN-FIXATIVE-10PCT</t>
  </si>
  <si>
    <t xml:space="preserve">EKI 10% Formalin Fixative </t>
  </si>
  <si>
    <t>SHARPS-CONTAINER-3GAL</t>
  </si>
  <si>
    <t>Medegen Sharps - tainer 3 gallon (Ref: 8710TF)</t>
  </si>
  <si>
    <t>SHARPS-CONTAINER-85121</t>
  </si>
  <si>
    <t>Coviden sharps container (Ref:85121)</t>
  </si>
  <si>
    <t>SHARPS-CONTAINER-85221R</t>
  </si>
  <si>
    <t>Coviden sharps container (Ref:85221R)</t>
  </si>
  <si>
    <t>PURELL-FOAM-SANITIZER</t>
  </si>
  <si>
    <t xml:space="preserve">Purell Advanced Hand Sanitizer Foam </t>
  </si>
  <si>
    <t>PURELL-SURGICAL-SCRUB</t>
  </si>
  <si>
    <t>Purell Waterless surgical scrub</t>
  </si>
  <si>
    <t>AVAGARD-HAND-ANTISEPTIC</t>
  </si>
  <si>
    <t>3M Avagard Hand Antiseptic with Moisturizers (Ref: 9200)</t>
  </si>
  <si>
    <t>BEAVER-MINI-BLADE-GENERAL</t>
  </si>
  <si>
    <t>BVI Beaver Mini blade general (Ref: beaver6700)</t>
  </si>
  <si>
    <t>BEAVER-MINI-BLADE-ROUNDED</t>
  </si>
  <si>
    <t>BVI Beaver Mini-blade rounded tip (Ref: beaver6400)</t>
  </si>
  <si>
    <t>AVAGARD-WALL-BRACKET</t>
  </si>
  <si>
    <t>3M Avangard Wall Bracket / Crochet mural 9200 (Ref: 9205)</t>
  </si>
  <si>
    <t>AIRCAST-CALF-CUFF</t>
  </si>
  <si>
    <t>Aircast Foan Calf Cuff (Ref: 3050)</t>
  </si>
  <si>
    <t>KENDALL-TUBING-SET</t>
  </si>
  <si>
    <t>CardinalHealth Kendall tubing set (Ref: 9528)</t>
  </si>
  <si>
    <t>OR-TABLE-SHEET-BLUE</t>
  </si>
  <si>
    <t>Medline Disposable Spunbond Polypropylene Elastic-Fit Sheets</t>
  </si>
  <si>
    <t>NONCONDUCTIVE-TUBING-6FT</t>
  </si>
  <si>
    <t>Non-conductive connecting tubing 6', 3/16" (Ref: DYND50216)</t>
  </si>
  <si>
    <t>LIPOSUCTION-TUBING-3.7M</t>
  </si>
  <si>
    <t xml:space="preserve">Medline Liposuction tubing 3.7m x 10 mm x 16 mm (Ref: DYND50112) </t>
  </si>
  <si>
    <t>SCD-EXPRESS-KNEE-LEG</t>
  </si>
  <si>
    <t>Medline Kendall SCD Express Knee/Leg (Ref:RM-9789)</t>
  </si>
  <si>
    <t>FLAT-BED-SHEET</t>
  </si>
  <si>
    <t>Medline Disposable Flat Bed Sheets (Ref:NON33100)</t>
  </si>
  <si>
    <t>STERILIZATION-POUCHES</t>
  </si>
  <si>
    <t>Medline Self-Seal Sterilization Pouches (Ref: MPP100565GSZ)</t>
  </si>
  <si>
    <t>BED-SHEET-WHITE-NONSTERILE</t>
  </si>
  <si>
    <t>Medline White Non-Sterile Disposable Bed Sheet (Ref: NON24330A)</t>
  </si>
  <si>
    <t>UNDERPAD-BLUE-REGULAR</t>
  </si>
  <si>
    <t>Medline Regular blue underpad (Ref: MSC281229C)</t>
  </si>
  <si>
    <t>PRECISIONGLIDE-NEEDLE-21G</t>
  </si>
  <si>
    <t>BD PrecisionGlide Needle 21g (Ref: 305167)</t>
  </si>
  <si>
    <t>INSULIN-SYRINGE-U100-30G-1ML</t>
  </si>
  <si>
    <t>Easy Touch U-100 Insulin Syringes 30 gauge 1ml (Ref: 830155)</t>
  </si>
  <si>
    <t>GALAFLEX-3DR-LARGE</t>
  </si>
  <si>
    <t>Galatea GalaFLEX 3DR Scaffold Large (Ref: FR3D05)</t>
  </si>
  <si>
    <t>SUBLIME-EPITHALON-10MG</t>
  </si>
  <si>
    <t>Sublime Vitality Epithalon 10 mg</t>
  </si>
  <si>
    <t>SUBLIME-MOTSC-20MG</t>
  </si>
  <si>
    <t>Sublime Vitality Mots-C 20 mg</t>
  </si>
  <si>
    <t>SUBLIME-KLOW-80MG</t>
  </si>
  <si>
    <t>Sublime Vitality Klow 80mg</t>
  </si>
  <si>
    <t>SUBLIME-WOLVERINE-10-10</t>
  </si>
  <si>
    <t>Sublime Vitality Wolverine 10/10</t>
  </si>
  <si>
    <t>SUBLIME-CJC-IPA-5MG</t>
  </si>
  <si>
    <t>Sublime Vitality CJC/IPA 5mg</t>
  </si>
  <si>
    <t>SUBLIME-SERMORELIN-10MG</t>
  </si>
  <si>
    <t>Sublime Vitality Sermorelin 10 mg</t>
  </si>
  <si>
    <t>SUBLIME-TB500-10MG</t>
  </si>
  <si>
    <t>Sublime Vitality TB-500 10 mg</t>
  </si>
  <si>
    <t>SUBLIME-SEMAX-10MG</t>
  </si>
  <si>
    <t>Sublime Vitality Semax 10 mg</t>
  </si>
  <si>
    <t>SUBLIME-GLOW-10-10-50</t>
  </si>
  <si>
    <t>Sublime Vitality Glow 10/10/50</t>
  </si>
  <si>
    <t>SUBLIME-GHKCU-50MG</t>
  </si>
  <si>
    <t>Sublime Vitality GHK-CU 50 mg</t>
  </si>
  <si>
    <t>SUBLIME-PT141-10MG</t>
  </si>
  <si>
    <t>Sublime Vitality PT-141 10mg</t>
  </si>
  <si>
    <t>SUBLIME-GLUTATHIONE-1500MG</t>
  </si>
  <si>
    <t>Sublime Vitality Glutathone 1500 MG</t>
  </si>
  <si>
    <t>SUBLIME-BACT-WATER</t>
  </si>
  <si>
    <t>Sublime Vitality Bacteriostatic water</t>
  </si>
  <si>
    <t>SUBLIME-NAD-1000MG</t>
  </si>
  <si>
    <t>Sublime Vitality NAD 1000 MG</t>
  </si>
  <si>
    <t>MOTIVA-DEMI-205CC</t>
  </si>
  <si>
    <t>Motiva 205 cc Demi Ref: ERSD-205)</t>
  </si>
  <si>
    <t>MOTIVA-MINI-205CC</t>
  </si>
  <si>
    <t>Motiva 205 cc Mini (Ref: ERSM-205)</t>
  </si>
  <si>
    <t>MOTIVA-DEMI-215CC</t>
  </si>
  <si>
    <t>Motiva 215 cc Demi (Ref: ERSD-215)</t>
  </si>
  <si>
    <t>MOTIVA-MINI-220CC</t>
  </si>
  <si>
    <t>Motiva 220 cc Mini (Ref: ERSM-220)</t>
  </si>
  <si>
    <t>MOTIVA-DEMI-230CC</t>
  </si>
  <si>
    <t>Motiva 230 cc Demi (Ref: ERSD-230)</t>
  </si>
  <si>
    <t>MOTIVA-MINI-230CC</t>
  </si>
  <si>
    <t>Motiva 230 cc Mini (Ref: ERSM-230)</t>
  </si>
  <si>
    <t>MOTIVA-DEMI-245CC</t>
  </si>
  <si>
    <t>Motiva 245 cc Demi (Ref: ERSD-245)</t>
  </si>
  <si>
    <t>MOTIVA-MINI-245CC</t>
  </si>
  <si>
    <t>Motiva 245 cc Mini (Ref: ERSM-245)</t>
  </si>
  <si>
    <t>MOTIVA-FULL-255CC</t>
  </si>
  <si>
    <t>Motiva 255 cc Full (Ref: ERSF-255)</t>
  </si>
  <si>
    <t>MOTIVA-ROUND-FULL-255CC</t>
  </si>
  <si>
    <t>Motiva 255 cc Round Full (Ref: RSF-255+)</t>
  </si>
  <si>
    <t>MOTIVA-MINI-260CC</t>
  </si>
  <si>
    <t>Motiva 260 cc Mini (Ref: ERSM-260)</t>
  </si>
  <si>
    <t>MOTIVA-DEMI-265CC</t>
  </si>
  <si>
    <t>Motiva 265 cc Demi (Ref: ERSD-265)</t>
  </si>
  <si>
    <t>MOTIVA-FULL-275CC</t>
  </si>
  <si>
    <t>Motiva 275 cc Full (Ref: ERSF-275)</t>
  </si>
  <si>
    <t>MOTIVA-ROUND-FULL-275CC</t>
  </si>
  <si>
    <t>Motiva 275 cc Round Full (Ref: RSF-275+)</t>
  </si>
  <si>
    <t>MOTIVA-MINI-275CC</t>
  </si>
  <si>
    <t>Motiva 275 cc Mini (Ref: ERSM-275)</t>
  </si>
  <si>
    <t>MOTIVA-DEMI-285CC</t>
  </si>
  <si>
    <t>Motiva 285 cc Demi (Ref: ERSD-285)</t>
  </si>
  <si>
    <t>MOTIVA-MINI-290CC</t>
  </si>
  <si>
    <t>Motiva 290 cc Mini (Ref: ERSM-290)</t>
  </si>
  <si>
    <t>MOTIVA-FULL-295CC</t>
  </si>
  <si>
    <t>Motiva 295 cc Full (Ref: ERSF-295)</t>
  </si>
  <si>
    <t>MOTIVA-ROUND-FULL-295CC</t>
  </si>
  <si>
    <t>Motiva 295 cc Round Full (Ref: RSF-295+)</t>
  </si>
  <si>
    <t>MOTIVA-DEMI-300CC</t>
  </si>
  <si>
    <t>Motiva 300 cc Demi (Ref: ERSD-300)</t>
  </si>
  <si>
    <t>MOTIVA-MINI-310CC</t>
  </si>
  <si>
    <t>Motiva 310 cc Minil (Ref: ERSM-310)</t>
  </si>
  <si>
    <t>MOTIVA-FULL-315CC</t>
  </si>
  <si>
    <t>Motiva 315 cc Full  (Ref: ERSF-315)</t>
  </si>
  <si>
    <t>MOTIVA-ROUND-FULL-315CC</t>
  </si>
  <si>
    <t>Motiva 315 cc Round Full  (Ref: RSF-315+)</t>
  </si>
  <si>
    <t>MOTIVA-FULL-335CC</t>
  </si>
  <si>
    <t>Motiva 335 cc Full (Ref: ERSF-335)</t>
  </si>
  <si>
    <t>MOTIVA-ROUND-FULL-335CC</t>
  </si>
  <si>
    <t>Motiva 335 cc Round Full  (Ref: RSF-335+)</t>
  </si>
  <si>
    <t>MOTIVA-DEMI-340CC</t>
  </si>
  <si>
    <t>Motiva 340 cc Demi (Ref: ERSD-340)</t>
  </si>
  <si>
    <t>MOTIVA-FULL-355CC</t>
  </si>
  <si>
    <t>Motiva 355 cc Full (Ref: ERSF-355)</t>
  </si>
  <si>
    <t>MOTIVA-MINI-360CC</t>
  </si>
  <si>
    <t>Motiva 360 cc Mini (Ref: ERSM-360)</t>
  </si>
  <si>
    <t>MOTIVA-FULL-375CC</t>
  </si>
  <si>
    <t>Motiva 375 cc Full (Ref: ERSF-375)</t>
  </si>
  <si>
    <t>MOTIVA-DEMI-380CC</t>
  </si>
  <si>
    <t>Motiva 380 cc Demi (Ref: ERSD-380)</t>
  </si>
  <si>
    <t>MOTIVA-FULL-400CC</t>
  </si>
  <si>
    <t>Motiva 400 cc Full (Ref: ERSF-400)</t>
  </si>
  <si>
    <t>MOTIVA-DEMI-425CC</t>
  </si>
  <si>
    <t>Motiva 425 cc Demi (Ref: ERSD-425)</t>
  </si>
  <si>
    <t>MENTOR-SR-MODPLUS-250CC</t>
  </si>
  <si>
    <t>Mentor Smooth Round Moderate plus 250cc (Ref: 350-2501BC)</t>
  </si>
  <si>
    <t>MENTOR-SR-MODPLUS-275CC</t>
  </si>
  <si>
    <t>Mentor Smooth Round Moderate plus 275cc (Ref: 350-2751BC)</t>
  </si>
  <si>
    <t>MENTOR-SR-MODPLUS-325CC</t>
  </si>
  <si>
    <t>Mentor Smooth Round Moderate plus 325cc (Ref: 350-3251BC)</t>
  </si>
  <si>
    <t>MENTOR-SR-MODPLUS-350CC</t>
  </si>
  <si>
    <t>Mentor Smooth Round Moderate plus 350cc (Ref: 350-3501BC)</t>
  </si>
  <si>
    <t>MENTOR-SR-MODPLUS-200CC</t>
  </si>
  <si>
    <t>Mentor Smooth Round Moderate plus 200cc (Ref: 350-2001BC)</t>
  </si>
  <si>
    <t>MENTOR-SR-MODPLUS-300CC</t>
  </si>
  <si>
    <t>Mentor Smooth Round Moderate plus 300cc (Ref: 350-3001BC)</t>
  </si>
  <si>
    <t>MENTOR-SR-MODPLUS-375CC</t>
  </si>
  <si>
    <t>Mentor Smooth Round Moderate plus 375cc (Ref: 350-3751BC)</t>
  </si>
  <si>
    <t>MENTOR-SR-HP-350CC</t>
  </si>
  <si>
    <t>Mentor Smooth Round High-profile 350cc (Ref: 350-3504BC)</t>
  </si>
  <si>
    <t>MENTOR-SR-HP-300CC</t>
  </si>
  <si>
    <t>Mentor Smooth Round High-profile 300cc (Ref: 350-3004BC)</t>
  </si>
  <si>
    <t>MENTOR-SR-HP-325CC</t>
  </si>
  <si>
    <t>Mentor Smooth Round High-profile 325cc (Ref: 350-3254BC)</t>
  </si>
  <si>
    <t>MENTOR-SR-HP-400CC</t>
  </si>
  <si>
    <t>Mentor Smooth Round High-profile 400cc (Ref: 350-4004BC)</t>
  </si>
  <si>
    <t>MENTOR-SR-HP-275CC</t>
  </si>
  <si>
    <t>Mentor Smooth Round High-profile 275cc (Ref: 350-2754BC)</t>
  </si>
  <si>
    <t>MENTOR-SR-HP-425CC</t>
  </si>
  <si>
    <t>Mentor Smooth Round High-profile 425cc (Ref: 350-4254BC)</t>
  </si>
  <si>
    <t>MENTOR-SR-HP-450CC</t>
  </si>
  <si>
    <t>Mentor Smooth Round High-profile 450cc (Ref: 350-4504BC)</t>
  </si>
  <si>
    <t>MENTOR-SR-MODPLUS-225CC</t>
  </si>
  <si>
    <t>Mentor Smooth Round Moderate plus 225cc (Ref: 350-2251BC)</t>
  </si>
  <si>
    <t>MENTOR-SR-MODPLUS-425CC</t>
  </si>
  <si>
    <t>Mentor Smooth Round Moderate plus 425cc (Ref: 350-4251BC)</t>
  </si>
  <si>
    <t>MENTOR-SR-MODPLUS-400CC</t>
  </si>
  <si>
    <t>Mentor Smooth Round Moderate plus 400cc (Ref: 350-4001BC)</t>
  </si>
  <si>
    <t>MENTOR-SR-MODCLASSIC-320CC</t>
  </si>
  <si>
    <t>Mentor Smooth Round Moderate Classic 320cc (Ref: 350-7320MC)</t>
  </si>
  <si>
    <t>MENTOR-SR-MODCLASSIC-300CC</t>
  </si>
  <si>
    <t>Mentor Smooth Round Moderate Classic 300cc (Ref: 350-7300MC)</t>
  </si>
  <si>
    <t>MENTOR-SR-MODCLASSIC-385CC</t>
  </si>
  <si>
    <t>Mentor Smooth Round Moderate Classic 385cc (Ref: 350-7385MC)</t>
  </si>
  <si>
    <t>MENTOR-SR-MODCLASSIC-340CC</t>
  </si>
  <si>
    <t>Mentor Smooth Round Moderate Classic 340cc (Ref: 350-7340MC)</t>
  </si>
  <si>
    <t>MENTOR-SR-MODCLASSIC-235CC</t>
  </si>
  <si>
    <t>Mentor Smooth Round Moderate Classic 235cc (Ref: 350-7235MC)</t>
  </si>
  <si>
    <t>MENTOR-SR-HP-SALINE-190-225CC</t>
  </si>
  <si>
    <t>Mentor Smooth Round H-P Saline 190cc-225cc (Ref:350-3190)</t>
  </si>
  <si>
    <t>MENTOR-SR-MODPLUS-SALINE-175-210CC</t>
  </si>
  <si>
    <t>Mentor Smooth Round Moderate plus Saline 175cc-210cc (Ref:350-2175)</t>
  </si>
  <si>
    <t>SUCTION-LINER-OR515-2</t>
  </si>
  <si>
    <t>Medline Semirigid Liner for Suction Canister (Ref: OR515-2)</t>
  </si>
  <si>
    <t>LIPO-CANISTER-2000CC</t>
  </si>
  <si>
    <t>PAL 2000cc LipoSuction Canister (Ref: PAL-SC-2000)</t>
  </si>
  <si>
    <t>SUCTION-LINER-OR530-2</t>
  </si>
  <si>
    <t>Medline Semirigid Liner for Suction Canister (Ref: OR530-2)</t>
  </si>
  <si>
    <t>ANESTHESIA-MASK-ADULT</t>
  </si>
  <si>
    <t>Medline Anesthesia Mask Adult (Ref: DYNJAAMASK35)</t>
  </si>
  <si>
    <t>MENTOR-SILTEX-MODPLUS-325CC</t>
  </si>
  <si>
    <t>Mentor Siltex Round Moderate Plus 325cc (Ref: 354-3251)</t>
  </si>
  <si>
    <t>MENTOR-SILTEX-MODPLUS-400CC</t>
  </si>
  <si>
    <t>Mentor Siltex Round Moderate Plus 400cc (Ref: 354-4400)</t>
  </si>
  <si>
    <t>MENTOR-SR-ULTRA-HP-455CC</t>
  </si>
  <si>
    <t>Mentor Smooth Round Ultra H-P 455cc (Ref: 350-5455BC)</t>
  </si>
  <si>
    <t>MENTOR-SR-ULTRA-HP-430CC</t>
  </si>
  <si>
    <t>Mentor Smooth Round Ultra H-P 430cc (Ref: 350-5430BC)</t>
  </si>
  <si>
    <t>MENTOR-SR-ULTRA-HP-400CC</t>
  </si>
  <si>
    <t>Mentor Smooth Round Ultra H-P 400cc (Ref: 350-4004BC)</t>
  </si>
  <si>
    <t>MENTOR-SR-ULTRA-HP-SIL-400CC</t>
  </si>
  <si>
    <t>Mentor Smooth Round Ultra H-P Silicone 400cc (Ref: 350-5400BC)</t>
  </si>
  <si>
    <t>MONOCRYL-4-0-PB1-VIOLET</t>
  </si>
  <si>
    <t>Ethicon 4-0 Monocryl PB-1 violet (Ref: Y304H)</t>
  </si>
  <si>
    <t>VICRYL-4-0-PS2-UNDYED</t>
  </si>
  <si>
    <t>Ethicon 4-0 Coated Vicryl PS-2 undyed (Ref: J426H)</t>
  </si>
  <si>
    <t>MONOCRYL-2-0-CT2-VIOLET</t>
  </si>
  <si>
    <t>Etchicon 2-0 Monocryl violet CT-2 (Ref: Y762H)</t>
  </si>
  <si>
    <t>CHROMIC-GUT-2-0-CT1-UNDYED</t>
  </si>
  <si>
    <t>Ethicon 2-0 Chromic gut undyed CT-1 (Ref: 923H)</t>
  </si>
  <si>
    <t>ETHIBOND-2-V37</t>
  </si>
  <si>
    <t>Ethicon 2 Ethibond excel V-37 (Ref: MX69G)</t>
  </si>
  <si>
    <t>VICRYL-6-0-UNDYED-BRAIDED</t>
  </si>
  <si>
    <t>Ethicon 6-0 Coated Vicryl undyed braided (Ref: 489G)</t>
  </si>
  <si>
    <t>MENTOR-SR-HP-375CC</t>
  </si>
  <si>
    <t>Mentor Smooth Round H-P 375 cc (Ref: 350-3754BC)</t>
  </si>
  <si>
    <t>PATIENT-COVER-WHITE</t>
  </si>
  <si>
    <t>Medline Disposable Patient Cover white (Ref: DYNDPB01)</t>
  </si>
  <si>
    <t>ETHIBOND-4-0-SH-GREEN</t>
  </si>
  <si>
    <t>4-0 Ethibond Excel coated polyester green SH (Ref: X831H)</t>
  </si>
  <si>
    <t>CHROMIC-GUT-3-0</t>
  </si>
  <si>
    <t>3-0 Cnromic gut (Ref: G122H)</t>
  </si>
  <si>
    <t>FAST-GUT-5-0-PC1</t>
  </si>
  <si>
    <t>5-0 Fast Absorbing Plain Gut PC-1 (Ref: 1915G)</t>
  </si>
  <si>
    <t>MONOCRYL-4-0-PS2-UNDYED</t>
  </si>
  <si>
    <t>4-0 Moniocryl no colour PS-2 (Ref: Y496G)</t>
  </si>
  <si>
    <t>VICRYL-6-0-RB1</t>
  </si>
  <si>
    <t>6-0 Coated Vicryl RB-1 (Ref: J212H)</t>
  </si>
  <si>
    <t>VICRYL-5-0-FS2</t>
  </si>
  <si>
    <t>5-0 Coated Vicryl FS-2 (Ref: J421H)</t>
  </si>
  <si>
    <t>VICRYL-RAPIDE-4-0-P3-UNDYED</t>
  </si>
  <si>
    <t>4-0 Coated Vicryl Rapide undyed P-3 (Ref: VR494)</t>
  </si>
  <si>
    <t>VICRYL-3-0-FS1-UNDYED</t>
  </si>
  <si>
    <t>3-0 CoatedVicryl undyed braided FS-1 (Ref: J442H)</t>
  </si>
  <si>
    <t>TYLENOL-EXTRA-STRENGTH</t>
  </si>
  <si>
    <t>Tylenol Extra Strength</t>
  </si>
  <si>
    <t>HYDROXYZINE-SANDOZ</t>
  </si>
  <si>
    <t xml:space="preserve">Sandoz HydrOXyzine </t>
  </si>
  <si>
    <t>box</t>
  </si>
  <si>
    <t>POLYMYXIN-B-500000U</t>
  </si>
  <si>
    <t>ANTI-EMBOLISM-STOCKINGS-MED</t>
  </si>
  <si>
    <t>Medline Anti-embolism elastic stockings Knee High Medium (Ref: MDS160644)</t>
  </si>
  <si>
    <t>FITRIGHT-UNDERWEAR-XL</t>
  </si>
  <si>
    <t>Medline FitRight underwear xl (Ref: MSC13600A)</t>
  </si>
  <si>
    <t>Category</t>
  </si>
  <si>
    <t>Subcategory</t>
  </si>
  <si>
    <t>Reference / NDC / MFR</t>
  </si>
  <si>
    <t>Source Line</t>
  </si>
  <si>
    <t>Notes</t>
  </si>
  <si>
    <t>Implants / Implant Accessories / Scaffolds</t>
  </si>
  <si>
    <t>Scaffold / mesh</t>
  </si>
  <si>
    <t>FR3D05</t>
  </si>
  <si>
    <t>Implant accessory</t>
  </si>
  <si>
    <t>HA005</t>
  </si>
  <si>
    <t>Breast implants</t>
  </si>
  <si>
    <t>354-3251</t>
  </si>
  <si>
    <t>354-4400</t>
  </si>
  <si>
    <t>350-3754BC</t>
  </si>
  <si>
    <t>350-3190</t>
  </si>
  <si>
    <t>350-2754BC</t>
  </si>
  <si>
    <t>350-3004BC</t>
  </si>
  <si>
    <t>350-3254BC</t>
  </si>
  <si>
    <t>350-3504BC</t>
  </si>
  <si>
    <t>350-4004BC</t>
  </si>
  <si>
    <t>350-4254BC</t>
  </si>
  <si>
    <t>350-4504BC</t>
  </si>
  <si>
    <t>350-7235MC</t>
  </si>
  <si>
    <t>350-7300MC</t>
  </si>
  <si>
    <t>350-7320MC</t>
  </si>
  <si>
    <t>350-7340MC</t>
  </si>
  <si>
    <t>350-7385MC</t>
  </si>
  <si>
    <t>350-2001BC</t>
  </si>
  <si>
    <t>350-2251BC</t>
  </si>
  <si>
    <t>350-2501BC</t>
  </si>
  <si>
    <t>350-2751BC</t>
  </si>
  <si>
    <t>350-3001BC</t>
  </si>
  <si>
    <t>350-3251BC</t>
  </si>
  <si>
    <t>350-3501BC</t>
  </si>
  <si>
    <t>350-3751BC</t>
  </si>
  <si>
    <t>350-4001BC</t>
  </si>
  <si>
    <t>350-4251BC</t>
  </si>
  <si>
    <t>350-2175</t>
  </si>
  <si>
    <t>350-5430BC</t>
  </si>
  <si>
    <t>350-5455BC</t>
  </si>
  <si>
    <t>350-5400BC</t>
  </si>
  <si>
    <t>ERSD-205</t>
  </si>
  <si>
    <t>ERSM-205</t>
  </si>
  <si>
    <t>ERSD-215</t>
  </si>
  <si>
    <t>ERSM-220</t>
  </si>
  <si>
    <t>ERSD-230</t>
  </si>
  <si>
    <t>ERSM-230</t>
  </si>
  <si>
    <t>ERSD-245</t>
  </si>
  <si>
    <t>ERSM-245</t>
  </si>
  <si>
    <t>ERSF-255</t>
  </si>
  <si>
    <t>RSF-255+</t>
  </si>
  <si>
    <t>ERSM-260</t>
  </si>
  <si>
    <t>ERSD-265</t>
  </si>
  <si>
    <t>ERSF-275</t>
  </si>
  <si>
    <t>ERSM-275</t>
  </si>
  <si>
    <t>RSF-275+</t>
  </si>
  <si>
    <t>ERSD-285</t>
  </si>
  <si>
    <t>ERSM-290</t>
  </si>
  <si>
    <t>ERSF-295</t>
  </si>
  <si>
    <t>RSF-295+</t>
  </si>
  <si>
    <t>ERSD-300</t>
  </si>
  <si>
    <t>ERSM-310</t>
  </si>
  <si>
    <t>ERSF-315</t>
  </si>
  <si>
    <t>RSF-315+</t>
  </si>
  <si>
    <t>ERSF-335</t>
  </si>
  <si>
    <t>RSF-335+</t>
  </si>
  <si>
    <t>ERSD-340</t>
  </si>
  <si>
    <t>ERSF-355</t>
  </si>
  <si>
    <t>ERSM-360</t>
  </si>
  <si>
    <t>ERSF-375</t>
  </si>
  <si>
    <t>ERSD-380</t>
  </si>
  <si>
    <t>ERSF-400</t>
  </si>
  <si>
    <t>ERSD-425</t>
  </si>
  <si>
    <t>Sutures</t>
  </si>
  <si>
    <t>Surgical suture</t>
  </si>
  <si>
    <t>J467</t>
  </si>
  <si>
    <t>X424H</t>
  </si>
  <si>
    <t>Y267H</t>
  </si>
  <si>
    <t>PDP346H</t>
  </si>
  <si>
    <t>8424H</t>
  </si>
  <si>
    <t>SUSRA1065Q</t>
  </si>
  <si>
    <t>SXPP1A406</t>
  </si>
  <si>
    <t>J480</t>
  </si>
  <si>
    <t>PDP371T</t>
  </si>
  <si>
    <t>VLO1002</t>
  </si>
  <si>
    <t>J8435N</t>
  </si>
  <si>
    <t>JA-1007Q</t>
  </si>
  <si>
    <t>J269H</t>
  </si>
  <si>
    <t>J316H</t>
  </si>
  <si>
    <t>VCP345H</t>
  </si>
  <si>
    <t>2-0 Coated Vicryl Plus FS-1 (Ref: VCP443H)</t>
  </si>
  <si>
    <t>VCP443H</t>
  </si>
  <si>
    <t>PX64H</t>
  </si>
  <si>
    <t>664H</t>
  </si>
  <si>
    <t>628H</t>
  </si>
  <si>
    <t>Y345H</t>
  </si>
  <si>
    <t>Z339H</t>
  </si>
  <si>
    <t>Z443H</t>
  </si>
  <si>
    <t>685G</t>
  </si>
  <si>
    <t>YA2034Q</t>
  </si>
  <si>
    <t>922H</t>
  </si>
  <si>
    <t>G122H</t>
  </si>
  <si>
    <t>VCP442H</t>
  </si>
  <si>
    <t>VCP338H</t>
  </si>
  <si>
    <t>J442H</t>
  </si>
  <si>
    <t>X872H</t>
  </si>
  <si>
    <t>663G</t>
  </si>
  <si>
    <t>Y936H</t>
  </si>
  <si>
    <t>Z497G</t>
  </si>
  <si>
    <t>8665G</t>
  </si>
  <si>
    <t>TE153019F4P</t>
  </si>
  <si>
    <t>YA2033Q</t>
  </si>
  <si>
    <t>G121H</t>
  </si>
  <si>
    <t>J496g</t>
  </si>
  <si>
    <t>VR494</t>
  </si>
  <si>
    <t>X831H</t>
  </si>
  <si>
    <t>1611G</t>
  </si>
  <si>
    <t>Y496G</t>
  </si>
  <si>
    <t>Y426H</t>
  </si>
  <si>
    <t>C514D</t>
  </si>
  <si>
    <t>8682G</t>
  </si>
  <si>
    <t>SXMP1B117</t>
  </si>
  <si>
    <t>J421H</t>
  </si>
  <si>
    <t>J493G</t>
  </si>
  <si>
    <t>J495G</t>
  </si>
  <si>
    <t>690G</t>
  </si>
  <si>
    <t>1915G</t>
  </si>
  <si>
    <t>Y495G</t>
  </si>
  <si>
    <t>Z495G</t>
  </si>
  <si>
    <t>Z463G</t>
  </si>
  <si>
    <t>8686G</t>
  </si>
  <si>
    <t>J212H</t>
  </si>
  <si>
    <t>B1916N</t>
  </si>
  <si>
    <t>639G</t>
  </si>
  <si>
    <t>8706H</t>
  </si>
  <si>
    <t>8695G</t>
  </si>
  <si>
    <t>8696G</t>
  </si>
  <si>
    <t>Y762H</t>
  </si>
  <si>
    <t>MX69G</t>
  </si>
  <si>
    <t>923H</t>
  </si>
  <si>
    <t>J426H</t>
  </si>
  <si>
    <t>Y304H</t>
  </si>
  <si>
    <t>489G</t>
  </si>
  <si>
    <t>8697G</t>
  </si>
  <si>
    <t>Medications / Pharmaceuticals</t>
  </si>
  <si>
    <t>Medication / pharmaceutical</t>
  </si>
  <si>
    <t>76329-3304-1</t>
  </si>
  <si>
    <t>0409-6648-16</t>
  </si>
  <si>
    <t>51754500104</t>
  </si>
  <si>
    <t>DA4100; 0264-4100-90</t>
  </si>
  <si>
    <t>76204-200-01</t>
  </si>
  <si>
    <t>76329-3340-1</t>
  </si>
  <si>
    <t>0143-9331-10</t>
  </si>
  <si>
    <t>31722-217-31</t>
  </si>
  <si>
    <t>31722-394-33</t>
  </si>
  <si>
    <t>60505-6142-5</t>
  </si>
  <si>
    <t>L</t>
  </si>
  <si>
    <t>25021011502</t>
  </si>
  <si>
    <t>633323-506-01</t>
  </si>
  <si>
    <t>0641-0376-25</t>
  </si>
  <si>
    <t>0409-5820-11</t>
  </si>
  <si>
    <t>0781-3269-95</t>
  </si>
  <si>
    <t>76329-3318-1</t>
  </si>
  <si>
    <t>54288-103-10</t>
  </si>
  <si>
    <t>76329-9060-0</t>
  </si>
  <si>
    <t>67457-182-00</t>
  </si>
  <si>
    <t>55150-194-10</t>
  </si>
  <si>
    <t>6525026609</t>
  </si>
  <si>
    <t>25021075302</t>
  </si>
  <si>
    <t>0409-9094-12</t>
  </si>
  <si>
    <t>0143-9784-01</t>
  </si>
  <si>
    <t>71288-203-03</t>
  </si>
  <si>
    <t>633323-010-02</t>
  </si>
  <si>
    <t>25021-402-01</t>
  </si>
  <si>
    <t>633323-613-01</t>
  </si>
  <si>
    <t>0409-1283-31</t>
  </si>
  <si>
    <t>0633323-853-25</t>
  </si>
  <si>
    <t>25021-683-10</t>
  </si>
  <si>
    <t>72266011825</t>
  </si>
  <si>
    <t>72266-103-01</t>
  </si>
  <si>
    <t>0409-3177-01/06</t>
  </si>
  <si>
    <t>0143-9577-01</t>
  </si>
  <si>
    <t>0409-0147-10</t>
  </si>
  <si>
    <t>0264-4206-54</t>
  </si>
  <si>
    <t>63323-06404</t>
  </si>
  <si>
    <t>71288-414-03</t>
  </si>
  <si>
    <t>23155024041</t>
  </si>
  <si>
    <t>23155-240-41</t>
  </si>
  <si>
    <t>36000-033-10</t>
  </si>
  <si>
    <t>0641-6056-10</t>
  </si>
  <si>
    <t>21355-600-41</t>
  </si>
  <si>
    <t>0409-2305-05</t>
  </si>
  <si>
    <t>67457-639-00</t>
  </si>
  <si>
    <t>72603-590-10</t>
  </si>
  <si>
    <t>24208-785-55</t>
  </si>
  <si>
    <t>0641-6149-10</t>
  </si>
  <si>
    <t>60505-6130-5</t>
  </si>
  <si>
    <t>71288-807-02</t>
  </si>
  <si>
    <t>63323-321-10</t>
  </si>
  <si>
    <t>16714-977-20</t>
  </si>
  <si>
    <t>0409-1660-20</t>
  </si>
  <si>
    <t>39822-5525-3</t>
  </si>
  <si>
    <t>23155-345-44</t>
  </si>
  <si>
    <t>16571-128-48</t>
  </si>
  <si>
    <t>71288070006</t>
  </si>
  <si>
    <t>70069-064-01</t>
  </si>
  <si>
    <t>Rygby Polyvinyl alcohol 1.4% lubricating eye drops 15mL (NDC: 0536-1408-94)</t>
  </si>
  <si>
    <t>0536-1408-94</t>
  </si>
  <si>
    <t>25021-796-01</t>
  </si>
  <si>
    <t>25021-415-10</t>
  </si>
  <si>
    <t>Sandoz HydrOXyzine</t>
  </si>
  <si>
    <t>0781-3487-70</t>
  </si>
  <si>
    <t>0527-6123-74</t>
  </si>
  <si>
    <t>31722098131</t>
  </si>
  <si>
    <t>70069-596-01</t>
  </si>
  <si>
    <t>67850-071-05</t>
  </si>
  <si>
    <t>60505613005</t>
  </si>
  <si>
    <t>IV Fluids / Irrigation Solutions</t>
  </si>
  <si>
    <t>Fluid / irrigation solution</t>
  </si>
  <si>
    <t>2B1324X</t>
  </si>
  <si>
    <t>8002</t>
  </si>
  <si>
    <t>Q8001</t>
  </si>
  <si>
    <t>R5201-01</t>
  </si>
  <si>
    <t>306547</t>
  </si>
  <si>
    <t>0065-0795-15</t>
  </si>
  <si>
    <t>0065-0795-50</t>
  </si>
  <si>
    <t>L7500</t>
  </si>
  <si>
    <t>L7501</t>
  </si>
  <si>
    <t>Needles / Syringes / IV Access</t>
  </si>
  <si>
    <t>Needle / syringe / IV access</t>
  </si>
  <si>
    <t>305167</t>
  </si>
  <si>
    <t>382523</t>
  </si>
  <si>
    <t>302995</t>
  </si>
  <si>
    <t>3096280</t>
  </si>
  <si>
    <t>302830</t>
  </si>
  <si>
    <t>302832</t>
  </si>
  <si>
    <t>309657</t>
  </si>
  <si>
    <t>309646</t>
  </si>
  <si>
    <t>L 354203</t>
  </si>
  <si>
    <t>830155</t>
  </si>
  <si>
    <t>26426</t>
  </si>
  <si>
    <t>26742</t>
  </si>
  <si>
    <t>26746</t>
  </si>
  <si>
    <t>900-4471</t>
  </si>
  <si>
    <t>112-7110</t>
  </si>
  <si>
    <t>570-0887</t>
  </si>
  <si>
    <t>570-0884</t>
  </si>
  <si>
    <t>900-4472</t>
  </si>
  <si>
    <t>SYR100235Z</t>
  </si>
  <si>
    <t>102-M22105S3</t>
  </si>
  <si>
    <t>16-N201</t>
  </si>
  <si>
    <t>DYNDTN1516</t>
  </si>
  <si>
    <t>DYNDTA1540</t>
  </si>
  <si>
    <t>DYNDTN1512</t>
  </si>
  <si>
    <t>DYND20125</t>
  </si>
  <si>
    <t>DYNDTA1530</t>
  </si>
  <si>
    <t>OGBCS21GT</t>
  </si>
  <si>
    <t>PAIN8018</t>
  </si>
  <si>
    <t>MS438</t>
  </si>
  <si>
    <t>illed Normal Saline Syringe; B-D306547Z</t>
  </si>
  <si>
    <t>SN18G351</t>
  </si>
  <si>
    <t>382533</t>
  </si>
  <si>
    <t>SS-60L</t>
  </si>
  <si>
    <t>512956X / 560265</t>
  </si>
  <si>
    <t>PRE-32013-100</t>
  </si>
  <si>
    <t>Anesthesia / Airway / Respiratory</t>
  </si>
  <si>
    <t>Airway / respiratory</t>
  </si>
  <si>
    <t>M1173310</t>
  </si>
  <si>
    <t>FMO15U-A05287FA</t>
  </si>
  <si>
    <t>31000</t>
  </si>
  <si>
    <t>332U5115</t>
  </si>
  <si>
    <t>85865</t>
  </si>
  <si>
    <t>76265</t>
  </si>
  <si>
    <t>DYNJAA04</t>
  </si>
  <si>
    <t>1103</t>
  </si>
  <si>
    <t>1104</t>
  </si>
  <si>
    <t>8008000</t>
  </si>
  <si>
    <t>16-281B</t>
  </si>
  <si>
    <t>16-0581</t>
  </si>
  <si>
    <t>16-291G</t>
  </si>
  <si>
    <t>DYNJNASO28</t>
  </si>
  <si>
    <t>DYNJAA0110</t>
  </si>
  <si>
    <t>DYNJAAMASK35</t>
  </si>
  <si>
    <t>HCS4485</t>
  </si>
  <si>
    <t>DYNJGUED90</t>
  </si>
  <si>
    <t>DYNJSTY14F</t>
  </si>
  <si>
    <t>DYND300030S</t>
  </si>
  <si>
    <t>DYND300040S</t>
  </si>
  <si>
    <t>DYND300050S</t>
  </si>
  <si>
    <t>HUDRHO41U</t>
  </si>
  <si>
    <t>HUD1103</t>
  </si>
  <si>
    <t>MS-23480</t>
  </si>
  <si>
    <t>MS-23460</t>
  </si>
  <si>
    <t>MS-23465</t>
  </si>
  <si>
    <t>MS-23470</t>
  </si>
  <si>
    <t>MS-23475</t>
  </si>
  <si>
    <t>1226100</t>
  </si>
  <si>
    <t>123128</t>
  </si>
  <si>
    <t>9021270</t>
  </si>
  <si>
    <t>Drains / Suction / Tubing / Canisters</t>
  </si>
  <si>
    <t>Drain / suction / tubing</t>
  </si>
  <si>
    <t>509</t>
  </si>
  <si>
    <t>508</t>
  </si>
  <si>
    <t>9528</t>
  </si>
  <si>
    <t>30414-025</t>
  </si>
  <si>
    <t>FAT-10002-IN</t>
  </si>
  <si>
    <t>CMS-1228</t>
  </si>
  <si>
    <t>AR1159</t>
  </si>
  <si>
    <t>DYND50519</t>
  </si>
  <si>
    <t>DYNJFEC09</t>
  </si>
  <si>
    <t>2002S</t>
  </si>
  <si>
    <t>DYNJWE1305</t>
  </si>
  <si>
    <t>Medline Liposuction tubing 3.7m x 10 mm x 16 mm (Ref: DYND50112)</t>
  </si>
  <si>
    <t>DYND50112</t>
  </si>
  <si>
    <t>DYND50221</t>
  </si>
  <si>
    <t>DYNJWE1311</t>
  </si>
  <si>
    <t>DYNJWE1321A</t>
  </si>
  <si>
    <t>DYNJWE1320</t>
  </si>
  <si>
    <t>DYNJWE0321</t>
  </si>
  <si>
    <t>DYNJWE1323A</t>
  </si>
  <si>
    <t>OR515-2</t>
  </si>
  <si>
    <t>Uncategorized / Review</t>
  </si>
  <si>
    <t>Dummy item / confirm</t>
  </si>
  <si>
    <t>Diagnostics / Testing / Monitoring</t>
  </si>
  <si>
    <t>Diagnostic / test / monitoring</t>
  </si>
  <si>
    <t>DCT-102</t>
  </si>
  <si>
    <t>PF453 / MPH11025HCG</t>
  </si>
  <si>
    <t>HCDOAV-5</t>
  </si>
  <si>
    <t>OR530-2</t>
  </si>
  <si>
    <t>Patient Care / Hygiene / Comfort</t>
  </si>
  <si>
    <t>Patient care / comfort</t>
  </si>
  <si>
    <t>NON27046</t>
  </si>
  <si>
    <t>MDTPG2RSBSTA</t>
  </si>
  <si>
    <t>Patient Garments / Compression / Supports</t>
  </si>
  <si>
    <t>Compression / support garment</t>
  </si>
  <si>
    <t>7802</t>
  </si>
  <si>
    <t>7594</t>
  </si>
  <si>
    <t>DYND50130</t>
  </si>
  <si>
    <t>7115</t>
  </si>
  <si>
    <t>Medline Single Tread Slippers W/Skid-Resistant Soles (Ref: 44125Z)</t>
  </si>
  <si>
    <t>44125Z</t>
  </si>
  <si>
    <t>NONDB4080</t>
  </si>
  <si>
    <t>PPE / Gloves / Masks / Staff Apparel</t>
  </si>
  <si>
    <t>PPE / staff apparel</t>
  </si>
  <si>
    <t>CRI1001</t>
  </si>
  <si>
    <t>DYND50132</t>
  </si>
  <si>
    <t>NON28625</t>
  </si>
  <si>
    <t>CRI2002</t>
  </si>
  <si>
    <t>5700631</t>
  </si>
  <si>
    <t>5700632</t>
  </si>
  <si>
    <t>5700633</t>
  </si>
  <si>
    <t>DYND50216</t>
  </si>
  <si>
    <t>Kits / Packs / Procedure Trays</t>
  </si>
  <si>
    <t>Kit / procedure tray</t>
  </si>
  <si>
    <t>DYND70661</t>
  </si>
  <si>
    <t>Skin Prep / Scrub / Antiseptics</t>
  </si>
  <si>
    <t>Skin prep / antiseptic</t>
  </si>
  <si>
    <t>930815</t>
  </si>
  <si>
    <t>54799-301-90</t>
  </si>
  <si>
    <t>Surgical Instruments / Energy / Blades / Staplers</t>
  </si>
  <si>
    <t>Surgical instrument / energy accessory</t>
  </si>
  <si>
    <t>ESREC-1</t>
  </si>
  <si>
    <t>DYND11003</t>
  </si>
  <si>
    <t>PAL-SC-2000</t>
  </si>
  <si>
    <t>155-79-89220</t>
  </si>
  <si>
    <t>155-79-89091</t>
  </si>
  <si>
    <t>155-79-89090</t>
  </si>
  <si>
    <t>8888264960</t>
  </si>
  <si>
    <t>155-79-89070</t>
  </si>
  <si>
    <t>Drapes / Covers / OR Linens</t>
  </si>
  <si>
    <t>Drape / cover / linen</t>
  </si>
  <si>
    <t>DYNJP2316</t>
  </si>
  <si>
    <t>DYNJP2500</t>
  </si>
  <si>
    <t>9355</t>
  </si>
  <si>
    <t>48139</t>
  </si>
  <si>
    <t>9446</t>
  </si>
  <si>
    <t>29421</t>
  </si>
  <si>
    <t>Gauze / Sponges / Towels / Applicators</t>
  </si>
  <si>
    <t>Gauze / sponge / applicator</t>
  </si>
  <si>
    <t>MDT2168284</t>
  </si>
  <si>
    <t>20-P3D424</t>
  </si>
  <si>
    <t>DYNJP2491</t>
  </si>
  <si>
    <t>NC20FBR</t>
  </si>
  <si>
    <t>DYNJLHS1</t>
  </si>
  <si>
    <t>ESRK3000</t>
  </si>
  <si>
    <t>DYNJSM01</t>
  </si>
  <si>
    <t>DYNJP2102</t>
  </si>
  <si>
    <t>MDS241518</t>
  </si>
  <si>
    <t>NON21430LF</t>
  </si>
  <si>
    <t>MDS202105</t>
  </si>
  <si>
    <t>610-024</t>
  </si>
  <si>
    <t>371115</t>
  </si>
  <si>
    <t>371111</t>
  </si>
  <si>
    <t>DYNJP7001</t>
  </si>
  <si>
    <t>371110</t>
  </si>
  <si>
    <t>0016M</t>
  </si>
  <si>
    <t>0013M</t>
  </si>
  <si>
    <t>6650EZ</t>
  </si>
  <si>
    <t>0014M</t>
  </si>
  <si>
    <t>0012M</t>
  </si>
  <si>
    <t>EST0014M</t>
  </si>
  <si>
    <t>PXW35</t>
  </si>
  <si>
    <t>25-3001</t>
  </si>
  <si>
    <t>NON33100</t>
  </si>
  <si>
    <t>DYNDPB01</t>
  </si>
  <si>
    <t>MSC281229C</t>
  </si>
  <si>
    <t>APYX-27-TP</t>
  </si>
  <si>
    <t>APYX-15-TP</t>
  </si>
  <si>
    <t>APYX-BRUSH-1</t>
  </si>
  <si>
    <t>NON24330A</t>
  </si>
  <si>
    <t>MDS78912</t>
  </si>
  <si>
    <t>DYNJP8304A</t>
  </si>
  <si>
    <t>MDS72038</t>
  </si>
  <si>
    <t>8043</t>
  </si>
  <si>
    <t>5704499</t>
  </si>
  <si>
    <t>201075N</t>
  </si>
  <si>
    <t>5704498</t>
  </si>
  <si>
    <t>5704497</t>
  </si>
  <si>
    <t>5704496</t>
  </si>
  <si>
    <t>ALA42175</t>
  </si>
  <si>
    <t>NON25212</t>
  </si>
  <si>
    <t>ALA42170</t>
  </si>
  <si>
    <t>ALA42165</t>
  </si>
  <si>
    <t>ALA42160</t>
  </si>
  <si>
    <t>20-2060N</t>
  </si>
  <si>
    <t>NON21420</t>
  </si>
  <si>
    <t>NON2126</t>
  </si>
  <si>
    <t>NON25408</t>
  </si>
  <si>
    <t>Dressings / Bandages / Tapes / Skin Closure</t>
  </si>
  <si>
    <t>Dressing / bandage / closure</t>
  </si>
  <si>
    <t>1538-1</t>
  </si>
  <si>
    <t>1530-1</t>
  </si>
  <si>
    <t>1533-1</t>
  </si>
  <si>
    <t>3582</t>
  </si>
  <si>
    <t>1527-1</t>
  </si>
  <si>
    <t>6730</t>
  </si>
  <si>
    <t>7832AMD</t>
  </si>
  <si>
    <t>900-7506</t>
  </si>
  <si>
    <t>3005</t>
  </si>
  <si>
    <t>3004</t>
  </si>
  <si>
    <t>CUR001109</t>
  </si>
  <si>
    <t>3003</t>
  </si>
  <si>
    <t>NON21450</t>
  </si>
  <si>
    <t>NON270604</t>
  </si>
  <si>
    <t>CUR253220</t>
  </si>
  <si>
    <t>CUR253590</t>
  </si>
  <si>
    <t>NON25865</t>
  </si>
  <si>
    <t>6720</t>
  </si>
  <si>
    <t>NON255125</t>
  </si>
  <si>
    <t>MFG20220520</t>
  </si>
  <si>
    <t>2864</t>
  </si>
  <si>
    <t>MDS087002LF</t>
  </si>
  <si>
    <t>MDS087104LF</t>
  </si>
  <si>
    <t>0523-48</t>
  </si>
  <si>
    <t>DHVM12</t>
  </si>
  <si>
    <t>DNX12</t>
  </si>
  <si>
    <t>16-4292</t>
  </si>
  <si>
    <t>112-6133</t>
  </si>
  <si>
    <t>MPR60733</t>
  </si>
  <si>
    <t>MDSM611503Z</t>
  </si>
  <si>
    <t>DYND74176</t>
  </si>
  <si>
    <t>Hook Lock Elastic Bandage 4" x 5 Yd (Red: 6611-40)</t>
  </si>
  <si>
    <t>2862</t>
  </si>
  <si>
    <t>Count</t>
  </si>
  <si>
    <t>Breast implants, scaffold/mesh items, and implant insertion accessories.</t>
  </si>
  <si>
    <t>Vicryl, PDS, Monocryl, Prolene, Ethibond, Ethilon, silk, gut, Quill, Stratafix, etc.</t>
  </si>
  <si>
    <t>Injectables, anesthesia drugs, emergency meds, antibiotics, peptides, eye drops, and other pharmaceuticals.</t>
  </si>
  <si>
    <t>Lactated Ringer, saline injection/irrigation, BSS, and sterile irrigation solutions.</t>
  </si>
  <si>
    <t>Syringes, hypodermic/spinal needles, IV catheters, IV sets, extension sets, stopcocks, and blood collection sets.</t>
  </si>
  <si>
    <t>Airway devices, endotracheal tubes, LMAs, cannulas, oxygen masks, circuits, laryngoscope, nebulizer, CO2 lines.</t>
  </si>
  <si>
    <t>Drains, Yankauers, suction/connective tubing, tubing connectors, suction canisters/liners, lipo tubing.</t>
  </si>
  <si>
    <t>Drapes, covers, sheets, bed/table covers, underpads, and OR linens.</t>
  </si>
  <si>
    <t>Lap sponges, gauze sponges, OR towels, cotton applicators, tonsil/peanut sponges.</t>
  </si>
  <si>
    <t>9511</t>
  </si>
  <si>
    <t>Pads, Tegaderm, Xeroform, Kerlix, tapes, bandages, skin strips, Dermabond, packing strips.</t>
  </si>
  <si>
    <t>Exam/surgical gloves, caps, shoe covers, surgical gowns, masks, N95 respirators.</t>
  </si>
  <si>
    <t>Stockings, binders, post-surgery bras, SCD/calf compression supports.</t>
  </si>
  <si>
    <t>9541</t>
  </si>
  <si>
    <t>Patient gowns, slippers, blankets, bath/body products, cold packs, pillows, bedpans, urinals, briefs, scar products.</t>
  </si>
  <si>
    <t>ChloraPrep, povidone-iodine, CHG, alcohol prep, Betadine, scrub brushes, sanitizers, wound disinfectants.</t>
  </si>
  <si>
    <t>Test devices, ECG supplies, ultrasound gel, tongue depressors, monitoring paper.</t>
  </si>
  <si>
    <t>Bovie/cautery supplies, blades, staplers/removers, skin markers, energy handpieces and tips.</t>
  </si>
  <si>
    <t>Sterilization Supplies</t>
  </si>
  <si>
    <t>Sterilization pouches and indicator strips.</t>
  </si>
  <si>
    <t>Specimen / Lab / Measuring</t>
  </si>
  <si>
    <t>MDS137020</t>
  </si>
  <si>
    <t>Specimen cups, measuring cups, formalin/fixative.</t>
  </si>
  <si>
    <t>Cleaning / Disinfecting / Facility</t>
  </si>
  <si>
    <t>CaviWipes, cleaning wipes, sharps containers, brackets/facility accessories.</t>
  </si>
  <si>
    <t>NON081141E</t>
  </si>
  <si>
    <t>Procedure trays and general packs/kits.</t>
  </si>
  <si>
    <t>NON081144</t>
  </si>
  <si>
    <t>Items needing manual confirmation.</t>
  </si>
  <si>
    <t>Total inventory items</t>
  </si>
  <si>
    <t>FG100M</t>
  </si>
  <si>
    <t>46727</t>
  </si>
  <si>
    <t>Suture removal</t>
  </si>
  <si>
    <t>DYNJ07254A</t>
  </si>
  <si>
    <t>Post-op skin/scar care</t>
  </si>
  <si>
    <t>Cleaning / facility</t>
  </si>
  <si>
    <t>MDS202065</t>
  </si>
  <si>
    <t>DYNJ01208</t>
  </si>
  <si>
    <t>NON27378</t>
  </si>
  <si>
    <t>Sterilization</t>
  </si>
  <si>
    <t>102-6332</t>
  </si>
  <si>
    <t>955</t>
  </si>
  <si>
    <t>3050</t>
  </si>
  <si>
    <t>372053</t>
  </si>
  <si>
    <t>371073</t>
  </si>
  <si>
    <t>DYND371603</t>
  </si>
  <si>
    <t>1127067</t>
  </si>
  <si>
    <t>6906960</t>
  </si>
  <si>
    <t>4963</t>
  </si>
  <si>
    <t>186-6004</t>
  </si>
  <si>
    <t>112-7069</t>
  </si>
  <si>
    <t>6818</t>
  </si>
  <si>
    <t>5702957</t>
  </si>
  <si>
    <t>DYNj04058Z</t>
  </si>
  <si>
    <t>EST0016M</t>
  </si>
  <si>
    <t>DYNJ04062</t>
  </si>
  <si>
    <t>Specimen / lab</t>
  </si>
  <si>
    <t>42568</t>
  </si>
  <si>
    <t>01-01</t>
  </si>
  <si>
    <t>NON80328</t>
  </si>
  <si>
    <t>Lysian Modable Silicone Airplugs</t>
  </si>
  <si>
    <t>MDS160644</t>
  </si>
  <si>
    <t>NON241278</t>
  </si>
  <si>
    <t>RM-9789</t>
  </si>
  <si>
    <t>DYND80327H</t>
  </si>
  <si>
    <t>DYNC8522/8522H</t>
  </si>
  <si>
    <t>56-80235S</t>
  </si>
  <si>
    <t>CLN0897120</t>
  </si>
  <si>
    <t>MCHEM145</t>
  </si>
  <si>
    <t>EKI 10% Formalin Fixative</t>
  </si>
  <si>
    <t>Sharps / waste container</t>
  </si>
  <si>
    <t>8710TF</t>
  </si>
  <si>
    <t>85121</t>
  </si>
  <si>
    <t>85221R</t>
  </si>
  <si>
    <t>Purell Advanced Hand Sanitizer Foam</t>
  </si>
  <si>
    <t>9200</t>
  </si>
  <si>
    <t>beaver6700</t>
  </si>
  <si>
    <t>beaver6400</t>
  </si>
  <si>
    <t>9205</t>
  </si>
  <si>
    <t>MPP100565GSZ</t>
  </si>
  <si>
    <t>MSC13600A</t>
  </si>
  <si>
    <t>Basic 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</si>
</sst>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yy h:mm:ss"/>
    <numFmt numFmtId="166" formatCode="&quot;$&quot;#,##0"/>
    <numFmt numFmtId="167" formatCode="[$$]#,##0.00"/>
  </numFmts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000000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1F4E79"/>
        <bgColor rgb="FF1F4E79"/>
      </patternFill>
    </fill>
    <fill>
      <patternFill patternType="solid">
        <fgColor rgb="FFD9EAF7"/>
        <bgColor rgb="FFD9EA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3" fontId="2" numFmtId="49" xfId="0" applyAlignment="1" applyBorder="1" applyFill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3" fontId="1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1" fillId="3" fontId="2" numFmtId="49" xfId="0" applyAlignment="1" applyBorder="1" applyFont="1" applyNumberFormat="1">
      <alignment horizontal="center" shrinkToFit="0" vertical="center" wrapText="1"/>
    </xf>
    <xf borderId="1" fillId="4" fontId="2" numFmtId="49" xfId="0" applyAlignment="1" applyBorder="1" applyFill="1" applyFont="1" applyNumberForma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" fillId="5" fontId="2" numFmtId="49" xfId="0" applyAlignment="1" applyBorder="1" applyFill="1" applyFont="1" applyNumberFormat="1">
      <alignment horizontal="center" readingOrder="0" shrinkToFit="0" vertical="center" wrapText="1"/>
    </xf>
    <xf borderId="1" fillId="0" fontId="2" numFmtId="166" xfId="0" applyAlignment="1" applyBorder="1" applyFont="1" applyNumberFormat="1">
      <alignment horizontal="center" shrinkToFit="0" vertical="center" wrapText="1"/>
    </xf>
    <xf borderId="1" fillId="3" fontId="2" numFmtId="49" xfId="0" applyAlignment="1" applyBorder="1" applyFont="1" applyNumberFormat="1">
      <alignment horizontal="center" readingOrder="0" shrinkToFit="0" vertical="center" wrapText="1"/>
    </xf>
    <xf borderId="1" fillId="4" fontId="2" numFmtId="49" xfId="0" applyAlignment="1" applyBorder="1" applyFont="1" applyNumberFormat="1">
      <alignment horizontal="center" readingOrder="0" shrinkToFit="0" vertical="center" wrapText="1"/>
    </xf>
    <xf borderId="0" fillId="4" fontId="0" numFmtId="49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" fillId="6" fontId="2" numFmtId="49" xfId="0" applyAlignment="1" applyBorder="1" applyFill="1" applyFont="1" applyNumberForma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8" fontId="2" numFmtId="49" xfId="0" applyAlignment="1" applyBorder="1" applyFill="1" applyFont="1" applyNumberFormat="1">
      <alignment horizontal="center" readingOrder="0" shrinkToFit="0" vertical="center" wrapText="1"/>
    </xf>
    <xf borderId="1" fillId="8" fontId="2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" fillId="8" fontId="2" numFmtId="164" xfId="0" applyAlignment="1" applyBorder="1" applyFont="1" applyNumberFormat="1">
      <alignment horizontal="center" shrinkToFit="0" vertical="center" wrapText="1"/>
    </xf>
    <xf borderId="1" fillId="8" fontId="2" numFmtId="49" xfId="0" applyAlignment="1" applyBorder="1" applyFont="1" applyNumberFormat="1">
      <alignment horizontal="center" shrinkToFit="0" vertical="center" wrapText="1"/>
    </xf>
    <xf borderId="1" fillId="8" fontId="2" numFmtId="164" xfId="0" applyAlignment="1" applyBorder="1" applyFont="1" applyNumberFormat="1">
      <alignment horizontal="center" readingOrder="0" shrinkToFit="0" vertical="center" wrapText="1"/>
    </xf>
    <xf borderId="1" fillId="8" fontId="2" numFmtId="164" xfId="0" applyAlignment="1" applyBorder="1" applyFont="1" applyNumberFormat="1">
      <alignment horizontal="center" readingOrder="0" vertical="center"/>
    </xf>
    <xf borderId="1" fillId="8" fontId="2" numFmtId="164" xfId="0" applyAlignment="1" applyBorder="1" applyFont="1" applyNumberFormat="1">
      <alignment horizontal="center" shrinkToFit="0" vertical="center" wrapText="1"/>
    </xf>
    <xf borderId="1" fillId="8" fontId="2" numFmtId="164" xfId="0" applyAlignment="1" applyBorder="1" applyFont="1" applyNumberForma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vertical="center"/>
    </xf>
    <xf borderId="1" fillId="2" fontId="2" numFmtId="49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1" fillId="7" fontId="2" numFmtId="49" xfId="0" applyAlignment="1" applyBorder="1" applyFont="1" applyNumberFormat="1">
      <alignment horizontal="center" shrinkToFit="0" vertical="center" wrapText="1"/>
    </xf>
    <xf borderId="1" fillId="7" fontId="2" numFmtId="49" xfId="0" applyAlignment="1" applyBorder="1" applyFont="1" applyNumberFormat="1">
      <alignment horizontal="center" readingOrder="0" shrinkToFit="0" vertical="center" wrapText="1"/>
    </xf>
    <xf borderId="1" fillId="7" fontId="2" numFmtId="164" xfId="0" applyAlignment="1" applyBorder="1" applyFont="1" applyNumberFormat="1">
      <alignment horizontal="center" readingOrder="0"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0" fillId="9" fontId="3" numFmtId="0" xfId="0" applyAlignment="1" applyFill="1" applyFont="1">
      <alignment horizontal="center" shrinkToFit="0" vertical="top" wrapText="1"/>
    </xf>
    <xf borderId="0" fillId="9" fontId="4" numFmtId="0" xfId="0" applyFont="1"/>
    <xf borderId="0" fillId="3" fontId="5" numFmtId="0" xfId="0" applyAlignment="1" applyFont="1">
      <alignment shrinkToFit="0" vertical="top" wrapText="1"/>
    </xf>
    <xf borderId="0" fillId="3" fontId="2" numFmtId="0" xfId="0" applyFont="1"/>
    <xf borderId="0" fillId="10" fontId="6" numFmtId="0" xfId="0" applyAlignment="1" applyFill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0" fillId="11" fontId="8" numFmtId="0" xfId="0" applyAlignment="1" applyFill="1" applyFont="1">
      <alignment horizontal="center" vertical="center"/>
    </xf>
    <xf borderId="0" fillId="10" fontId="6" numFmtId="0" xfId="0" applyAlignment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By Category-style">
      <tableStyleElement dxfId="2" type="headerRow"/>
      <tableStyleElement dxfId="3" type="firstRowStripe"/>
      <tableStyleElement dxfId="4" type="secondRowStripe"/>
    </tableStyle>
    <tableStyle count="3" pivot="0" name="Original Order-style">
      <tableStyleElement dxfId="2" type="headerRow"/>
      <tableStyleElement dxfId="3" type="firstRowStripe"/>
      <tableStyleElement dxfId="4" type="secondRowStripe"/>
    </tableStyle>
    <tableStyle count="3" pivot="0" name="Summary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87.png"/><Relationship Id="rId84" Type="http://schemas.openxmlformats.org/officeDocument/2006/relationships/image" Target="../media/image58.png"/><Relationship Id="rId83" Type="http://schemas.openxmlformats.org/officeDocument/2006/relationships/image" Target="../media/image57.png"/><Relationship Id="rId42" Type="http://schemas.openxmlformats.org/officeDocument/2006/relationships/image" Target="../media/image31.png"/><Relationship Id="rId86" Type="http://schemas.openxmlformats.org/officeDocument/2006/relationships/image" Target="../media/image52.png"/><Relationship Id="rId41" Type="http://schemas.openxmlformats.org/officeDocument/2006/relationships/image" Target="../media/image29.png"/><Relationship Id="rId85" Type="http://schemas.openxmlformats.org/officeDocument/2006/relationships/image" Target="../media/image53.png"/><Relationship Id="rId44" Type="http://schemas.openxmlformats.org/officeDocument/2006/relationships/image" Target="../media/image43.png"/><Relationship Id="rId88" Type="http://schemas.openxmlformats.org/officeDocument/2006/relationships/image" Target="../media/image61.png"/><Relationship Id="rId43" Type="http://schemas.openxmlformats.org/officeDocument/2006/relationships/image" Target="../media/image38.png"/><Relationship Id="rId87" Type="http://schemas.openxmlformats.org/officeDocument/2006/relationships/image" Target="../media/image64.png"/><Relationship Id="rId46" Type="http://schemas.openxmlformats.org/officeDocument/2006/relationships/image" Target="../media/image63.png"/><Relationship Id="rId45" Type="http://schemas.openxmlformats.org/officeDocument/2006/relationships/image" Target="../media/image88.png"/><Relationship Id="rId80" Type="http://schemas.openxmlformats.org/officeDocument/2006/relationships/image" Target="../media/image83.png"/><Relationship Id="rId82" Type="http://schemas.openxmlformats.org/officeDocument/2006/relationships/image" Target="../media/image71.png"/><Relationship Id="rId81" Type="http://schemas.openxmlformats.org/officeDocument/2006/relationships/image" Target="../media/image62.png"/><Relationship Id="rId1" Type="http://schemas.openxmlformats.org/officeDocument/2006/relationships/image" Target="../media/image3.gif"/><Relationship Id="rId2" Type="http://schemas.openxmlformats.org/officeDocument/2006/relationships/image" Target="../media/image25.png"/><Relationship Id="rId3" Type="http://schemas.openxmlformats.org/officeDocument/2006/relationships/image" Target="../media/image22.png"/><Relationship Id="rId4" Type="http://schemas.openxmlformats.org/officeDocument/2006/relationships/image" Target="../media/image1.png"/><Relationship Id="rId9" Type="http://schemas.openxmlformats.org/officeDocument/2006/relationships/image" Target="../media/image20.gif"/><Relationship Id="rId48" Type="http://schemas.openxmlformats.org/officeDocument/2006/relationships/image" Target="../media/image66.png"/><Relationship Id="rId47" Type="http://schemas.openxmlformats.org/officeDocument/2006/relationships/image" Target="../media/image34.png"/><Relationship Id="rId49" Type="http://schemas.openxmlformats.org/officeDocument/2006/relationships/image" Target="../media/image84.png"/><Relationship Id="rId5" Type="http://schemas.openxmlformats.org/officeDocument/2006/relationships/image" Target="../media/image6.gif"/><Relationship Id="rId6" Type="http://schemas.openxmlformats.org/officeDocument/2006/relationships/image" Target="../media/image13.gif"/><Relationship Id="rId7" Type="http://schemas.openxmlformats.org/officeDocument/2006/relationships/image" Target="../media/image14.gif"/><Relationship Id="rId8" Type="http://schemas.openxmlformats.org/officeDocument/2006/relationships/image" Target="../media/image2.gif"/><Relationship Id="rId73" Type="http://schemas.openxmlformats.org/officeDocument/2006/relationships/image" Target="../media/image49.png"/><Relationship Id="rId72" Type="http://schemas.openxmlformats.org/officeDocument/2006/relationships/image" Target="../media/image80.png"/><Relationship Id="rId31" Type="http://schemas.openxmlformats.org/officeDocument/2006/relationships/image" Target="../media/image26.png"/><Relationship Id="rId75" Type="http://schemas.openxmlformats.org/officeDocument/2006/relationships/image" Target="../media/image42.png"/><Relationship Id="rId30" Type="http://schemas.openxmlformats.org/officeDocument/2006/relationships/image" Target="../media/image40.png"/><Relationship Id="rId74" Type="http://schemas.openxmlformats.org/officeDocument/2006/relationships/image" Target="../media/image54.png"/><Relationship Id="rId33" Type="http://schemas.openxmlformats.org/officeDocument/2006/relationships/image" Target="../media/image28.png"/><Relationship Id="rId77" Type="http://schemas.openxmlformats.org/officeDocument/2006/relationships/image" Target="../media/image56.png"/><Relationship Id="rId32" Type="http://schemas.openxmlformats.org/officeDocument/2006/relationships/image" Target="../media/image27.png"/><Relationship Id="rId76" Type="http://schemas.openxmlformats.org/officeDocument/2006/relationships/image" Target="../media/image51.png"/><Relationship Id="rId35" Type="http://schemas.openxmlformats.org/officeDocument/2006/relationships/image" Target="../media/image24.png"/><Relationship Id="rId79" Type="http://schemas.openxmlformats.org/officeDocument/2006/relationships/image" Target="../media/image68.png"/><Relationship Id="rId34" Type="http://schemas.openxmlformats.org/officeDocument/2006/relationships/image" Target="../media/image59.png"/><Relationship Id="rId78" Type="http://schemas.openxmlformats.org/officeDocument/2006/relationships/image" Target="../media/image81.png"/><Relationship Id="rId71" Type="http://schemas.openxmlformats.org/officeDocument/2006/relationships/image" Target="../media/image79.png"/><Relationship Id="rId70" Type="http://schemas.openxmlformats.org/officeDocument/2006/relationships/image" Target="../media/image73.png"/><Relationship Id="rId37" Type="http://schemas.openxmlformats.org/officeDocument/2006/relationships/image" Target="../media/image50.png"/><Relationship Id="rId36" Type="http://schemas.openxmlformats.org/officeDocument/2006/relationships/image" Target="../media/image85.png"/><Relationship Id="rId39" Type="http://schemas.openxmlformats.org/officeDocument/2006/relationships/image" Target="../media/image70.png"/><Relationship Id="rId38" Type="http://schemas.openxmlformats.org/officeDocument/2006/relationships/image" Target="../media/image55.png"/><Relationship Id="rId62" Type="http://schemas.openxmlformats.org/officeDocument/2006/relationships/image" Target="../media/image67.png"/><Relationship Id="rId61" Type="http://schemas.openxmlformats.org/officeDocument/2006/relationships/image" Target="../media/image33.png"/><Relationship Id="rId20" Type="http://schemas.openxmlformats.org/officeDocument/2006/relationships/image" Target="../media/image11.png"/><Relationship Id="rId64" Type="http://schemas.openxmlformats.org/officeDocument/2006/relationships/image" Target="../media/image60.png"/><Relationship Id="rId63" Type="http://schemas.openxmlformats.org/officeDocument/2006/relationships/image" Target="../media/image78.png"/><Relationship Id="rId22" Type="http://schemas.openxmlformats.org/officeDocument/2006/relationships/image" Target="../media/image12.png"/><Relationship Id="rId66" Type="http://schemas.openxmlformats.org/officeDocument/2006/relationships/image" Target="../media/image41.png"/><Relationship Id="rId21" Type="http://schemas.openxmlformats.org/officeDocument/2006/relationships/image" Target="../media/image32.png"/><Relationship Id="rId65" Type="http://schemas.openxmlformats.org/officeDocument/2006/relationships/image" Target="../media/image72.png"/><Relationship Id="rId24" Type="http://schemas.openxmlformats.org/officeDocument/2006/relationships/image" Target="../media/image44.png"/><Relationship Id="rId68" Type="http://schemas.openxmlformats.org/officeDocument/2006/relationships/image" Target="../media/image48.png"/><Relationship Id="rId23" Type="http://schemas.openxmlformats.org/officeDocument/2006/relationships/image" Target="../media/image89.png"/><Relationship Id="rId67" Type="http://schemas.openxmlformats.org/officeDocument/2006/relationships/image" Target="../media/image47.png"/><Relationship Id="rId60" Type="http://schemas.openxmlformats.org/officeDocument/2006/relationships/image" Target="../media/image69.png"/><Relationship Id="rId26" Type="http://schemas.openxmlformats.org/officeDocument/2006/relationships/image" Target="../media/image23.png"/><Relationship Id="rId25" Type="http://schemas.openxmlformats.org/officeDocument/2006/relationships/image" Target="../media/image15.png"/><Relationship Id="rId69" Type="http://schemas.openxmlformats.org/officeDocument/2006/relationships/image" Target="../media/image75.png"/><Relationship Id="rId28" Type="http://schemas.openxmlformats.org/officeDocument/2006/relationships/image" Target="../media/image16.png"/><Relationship Id="rId27" Type="http://schemas.openxmlformats.org/officeDocument/2006/relationships/image" Target="../media/image30.png"/><Relationship Id="rId29" Type="http://schemas.openxmlformats.org/officeDocument/2006/relationships/image" Target="../media/image65.png"/><Relationship Id="rId51" Type="http://schemas.openxmlformats.org/officeDocument/2006/relationships/image" Target="../media/image82.png"/><Relationship Id="rId50" Type="http://schemas.openxmlformats.org/officeDocument/2006/relationships/image" Target="../media/image36.png"/><Relationship Id="rId53" Type="http://schemas.openxmlformats.org/officeDocument/2006/relationships/image" Target="../media/image37.png"/><Relationship Id="rId52" Type="http://schemas.openxmlformats.org/officeDocument/2006/relationships/image" Target="../media/image35.png"/><Relationship Id="rId11" Type="http://schemas.openxmlformats.org/officeDocument/2006/relationships/image" Target="../media/image4.gif"/><Relationship Id="rId55" Type="http://schemas.openxmlformats.org/officeDocument/2006/relationships/image" Target="../media/image39.png"/><Relationship Id="rId10" Type="http://schemas.openxmlformats.org/officeDocument/2006/relationships/image" Target="../media/image17.gif"/><Relationship Id="rId54" Type="http://schemas.openxmlformats.org/officeDocument/2006/relationships/image" Target="../media/image77.png"/><Relationship Id="rId13" Type="http://schemas.openxmlformats.org/officeDocument/2006/relationships/image" Target="../media/image18.gif"/><Relationship Id="rId57" Type="http://schemas.openxmlformats.org/officeDocument/2006/relationships/image" Target="../media/image76.png"/><Relationship Id="rId12" Type="http://schemas.openxmlformats.org/officeDocument/2006/relationships/image" Target="../media/image7.gif"/><Relationship Id="rId56" Type="http://schemas.openxmlformats.org/officeDocument/2006/relationships/image" Target="../media/image45.png"/><Relationship Id="rId15" Type="http://schemas.openxmlformats.org/officeDocument/2006/relationships/image" Target="../media/image8.gif"/><Relationship Id="rId59" Type="http://schemas.openxmlformats.org/officeDocument/2006/relationships/image" Target="../media/image86.png"/><Relationship Id="rId14" Type="http://schemas.openxmlformats.org/officeDocument/2006/relationships/image" Target="../media/image5.gif"/><Relationship Id="rId58" Type="http://schemas.openxmlformats.org/officeDocument/2006/relationships/image" Target="../media/image74.png"/><Relationship Id="rId17" Type="http://schemas.openxmlformats.org/officeDocument/2006/relationships/image" Target="../media/image21.png"/><Relationship Id="rId16" Type="http://schemas.openxmlformats.org/officeDocument/2006/relationships/image" Target="../media/image10.gif"/><Relationship Id="rId19" Type="http://schemas.openxmlformats.org/officeDocument/2006/relationships/image" Target="../media/image9.png"/><Relationship Id="rId18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781175" cy="666750"/>
    <xdr:pic>
      <xdr:nvPicPr>
        <xdr:cNvPr id="0" name="image3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2486025" cy="666750"/>
    <xdr:pic>
      <xdr:nvPicPr>
        <xdr:cNvPr id="0" name="image2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790825" cy="666750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381250" cy="6667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886075" cy="476250"/>
    <xdr:pic>
      <xdr:nvPicPr>
        <xdr:cNvPr id="0" name="image6.gif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886075" cy="590550"/>
    <xdr:pic>
      <xdr:nvPicPr>
        <xdr:cNvPr id="0" name="image13.gif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886075" cy="447675"/>
    <xdr:pic>
      <xdr:nvPicPr>
        <xdr:cNvPr id="0" name="image14.gif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886075" cy="457200"/>
    <xdr:pic>
      <xdr:nvPicPr>
        <xdr:cNvPr id="0" name="image2.gif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2886075" cy="447675"/>
    <xdr:pic>
      <xdr:nvPicPr>
        <xdr:cNvPr id="0" name="image20.gif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886075" cy="495300"/>
    <xdr:pic>
      <xdr:nvPicPr>
        <xdr:cNvPr id="0" name="image17.gif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2667000" cy="666750"/>
    <xdr:pic>
      <xdr:nvPicPr>
        <xdr:cNvPr id="0" name="image4.gif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2371725" cy="666750"/>
    <xdr:pic>
      <xdr:nvPicPr>
        <xdr:cNvPr id="0" name="image7.gif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371725" cy="666750"/>
    <xdr:pic>
      <xdr:nvPicPr>
        <xdr:cNvPr id="0" name="image18.gif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2886075" cy="647700"/>
    <xdr:pic>
      <xdr:nvPicPr>
        <xdr:cNvPr id="0" name="image5.gif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2809875" cy="666750"/>
    <xdr:pic>
      <xdr:nvPicPr>
        <xdr:cNvPr id="0" name="image8.gif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2809875" cy="666750"/>
    <xdr:pic>
      <xdr:nvPicPr>
        <xdr:cNvPr id="0" name="image10.gif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771650" cy="666750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2381250" cy="66675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2486025" cy="666750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657350" cy="666750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657350" cy="666750"/>
    <xdr:pic>
      <xdr:nvPicPr>
        <xdr:cNvPr id="0" name="image3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1657350" cy="666750"/>
    <xdr:pic>
      <xdr:nvPicPr>
        <xdr:cNvPr id="0" name="image1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1552575" cy="666750"/>
    <xdr:pic>
      <xdr:nvPicPr>
        <xdr:cNvPr id="0" name="image8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1552575" cy="666750"/>
    <xdr:pic>
      <xdr:nvPicPr>
        <xdr:cNvPr id="0" name="image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1552575" cy="666750"/>
    <xdr:pic>
      <xdr:nvPicPr>
        <xdr:cNvPr id="0" name="image1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1657350" cy="666750"/>
    <xdr:pic>
      <xdr:nvPicPr>
        <xdr:cNvPr id="0" name="image2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2381250" cy="66675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2486025" cy="666750"/>
    <xdr:pic>
      <xdr:nvPicPr>
        <xdr:cNvPr id="0" name="image1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</xdr:row>
      <xdr:rowOff>0</xdr:rowOff>
    </xdr:from>
    <xdr:ext cx="2171700" cy="666750"/>
    <xdr:pic>
      <xdr:nvPicPr>
        <xdr:cNvPr id="0" name="image6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0</xdr:rowOff>
    </xdr:from>
    <xdr:ext cx="2790825" cy="666750"/>
    <xdr:pic>
      <xdr:nvPicPr>
        <xdr:cNvPr id="0" name="image4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</xdr:row>
      <xdr:rowOff>0</xdr:rowOff>
    </xdr:from>
    <xdr:ext cx="2886075" cy="657225"/>
    <xdr:pic>
      <xdr:nvPicPr>
        <xdr:cNvPr id="0" name="image26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0</xdr:rowOff>
    </xdr:from>
    <xdr:ext cx="2886075" cy="638175"/>
    <xdr:pic>
      <xdr:nvPicPr>
        <xdr:cNvPr id="0" name="image27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193</xdr:row>
      <xdr:rowOff>0</xdr:rowOff>
    </xdr:from>
    <xdr:ext cx="2381250" cy="666750"/>
    <xdr:pic>
      <xdr:nvPicPr>
        <xdr:cNvPr id="0" name="image2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196</xdr:row>
      <xdr:rowOff>0</xdr:rowOff>
    </xdr:from>
    <xdr:ext cx="1657350" cy="666750"/>
    <xdr:pic>
      <xdr:nvPicPr>
        <xdr:cNvPr id="0" name="image5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0</xdr:rowOff>
    </xdr:from>
    <xdr:ext cx="2486025" cy="666750"/>
    <xdr:pic>
      <xdr:nvPicPr>
        <xdr:cNvPr id="0" name="image24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205</xdr:row>
      <xdr:rowOff>0</xdr:rowOff>
    </xdr:from>
    <xdr:ext cx="1657350" cy="666750"/>
    <xdr:pic>
      <xdr:nvPicPr>
        <xdr:cNvPr id="0" name="image8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209</xdr:row>
      <xdr:rowOff>0</xdr:rowOff>
    </xdr:from>
    <xdr:ext cx="2790825" cy="666750"/>
    <xdr:pic>
      <xdr:nvPicPr>
        <xdr:cNvPr id="0" name="image5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211</xdr:row>
      <xdr:rowOff>0</xdr:rowOff>
    </xdr:from>
    <xdr:ext cx="2276475" cy="666750"/>
    <xdr:pic>
      <xdr:nvPicPr>
        <xdr:cNvPr id="0" name="image5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212</xdr:row>
      <xdr:rowOff>0</xdr:rowOff>
    </xdr:from>
    <xdr:ext cx="2171700" cy="666750"/>
    <xdr:pic>
      <xdr:nvPicPr>
        <xdr:cNvPr id="0" name="image7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213</xdr:row>
      <xdr:rowOff>0</xdr:rowOff>
    </xdr:from>
    <xdr:ext cx="2276475" cy="666750"/>
    <xdr:pic>
      <xdr:nvPicPr>
        <xdr:cNvPr id="0" name="image87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214</xdr:row>
      <xdr:rowOff>0</xdr:rowOff>
    </xdr:from>
    <xdr:ext cx="2886075" cy="657225"/>
    <xdr:pic>
      <xdr:nvPicPr>
        <xdr:cNvPr id="0" name="image2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171700" cy="666750"/>
    <xdr:pic>
      <xdr:nvPicPr>
        <xdr:cNvPr id="0" name="image3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278</xdr:row>
      <xdr:rowOff>0</xdr:rowOff>
    </xdr:from>
    <xdr:ext cx="2486025" cy="666750"/>
    <xdr:pic>
      <xdr:nvPicPr>
        <xdr:cNvPr id="0" name="image3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279</xdr:row>
      <xdr:rowOff>0</xdr:rowOff>
    </xdr:from>
    <xdr:ext cx="2486025" cy="666750"/>
    <xdr:pic>
      <xdr:nvPicPr>
        <xdr:cNvPr id="0" name="image43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282</xdr:row>
      <xdr:rowOff>0</xdr:rowOff>
    </xdr:from>
    <xdr:ext cx="2590800" cy="666750"/>
    <xdr:pic>
      <xdr:nvPicPr>
        <xdr:cNvPr id="0" name="image8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283</xdr:row>
      <xdr:rowOff>0</xdr:rowOff>
    </xdr:from>
    <xdr:ext cx="2486025" cy="666750"/>
    <xdr:pic>
      <xdr:nvPicPr>
        <xdr:cNvPr id="0" name="image6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284</xdr:row>
      <xdr:rowOff>0</xdr:rowOff>
    </xdr:from>
    <xdr:ext cx="2886075" cy="609600"/>
    <xdr:pic>
      <xdr:nvPicPr>
        <xdr:cNvPr id="0" name="image3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285</xdr:row>
      <xdr:rowOff>0</xdr:rowOff>
    </xdr:from>
    <xdr:ext cx="2171700" cy="666750"/>
    <xdr:pic>
      <xdr:nvPicPr>
        <xdr:cNvPr id="0" name="image66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286</xdr:row>
      <xdr:rowOff>0</xdr:rowOff>
    </xdr:from>
    <xdr:ext cx="2486025" cy="666750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287</xdr:row>
      <xdr:rowOff>0</xdr:rowOff>
    </xdr:from>
    <xdr:ext cx="2171700" cy="666750"/>
    <xdr:pic>
      <xdr:nvPicPr>
        <xdr:cNvPr id="0" name="image3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289</xdr:row>
      <xdr:rowOff>0</xdr:rowOff>
    </xdr:from>
    <xdr:ext cx="1657350" cy="666750"/>
    <xdr:pic>
      <xdr:nvPicPr>
        <xdr:cNvPr id="0" name="image8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290</xdr:row>
      <xdr:rowOff>0</xdr:rowOff>
    </xdr:from>
    <xdr:ext cx="2171700" cy="666750"/>
    <xdr:pic>
      <xdr:nvPicPr>
        <xdr:cNvPr id="0" name="image3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291</xdr:row>
      <xdr:rowOff>0</xdr:rowOff>
    </xdr:from>
    <xdr:ext cx="1343025" cy="666750"/>
    <xdr:pic>
      <xdr:nvPicPr>
        <xdr:cNvPr id="0" name="image3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292</xdr:row>
      <xdr:rowOff>0</xdr:rowOff>
    </xdr:from>
    <xdr:ext cx="2790825" cy="666750"/>
    <xdr:pic>
      <xdr:nvPicPr>
        <xdr:cNvPr id="0" name="image77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293</xdr:row>
      <xdr:rowOff>0</xdr:rowOff>
    </xdr:from>
    <xdr:ext cx="2171700" cy="666750"/>
    <xdr:pic>
      <xdr:nvPicPr>
        <xdr:cNvPr id="0" name="image39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294</xdr:row>
      <xdr:rowOff>0</xdr:rowOff>
    </xdr:from>
    <xdr:ext cx="2171700" cy="666750"/>
    <xdr:pic>
      <xdr:nvPicPr>
        <xdr:cNvPr id="0" name="image4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295</xdr:row>
      <xdr:rowOff>0</xdr:rowOff>
    </xdr:from>
    <xdr:ext cx="2171700" cy="666750"/>
    <xdr:pic>
      <xdr:nvPicPr>
        <xdr:cNvPr id="0" name="image4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296</xdr:row>
      <xdr:rowOff>0</xdr:rowOff>
    </xdr:from>
    <xdr:ext cx="2171700" cy="666750"/>
    <xdr:pic>
      <xdr:nvPicPr>
        <xdr:cNvPr id="0" name="image7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297</xdr:row>
      <xdr:rowOff>0</xdr:rowOff>
    </xdr:from>
    <xdr:ext cx="2171700" cy="666750"/>
    <xdr:pic>
      <xdr:nvPicPr>
        <xdr:cNvPr id="0" name="image74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302</xdr:row>
      <xdr:rowOff>0</xdr:rowOff>
    </xdr:from>
    <xdr:ext cx="2790825" cy="666750"/>
    <xdr:pic>
      <xdr:nvPicPr>
        <xdr:cNvPr id="0" name="image8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305</xdr:row>
      <xdr:rowOff>0</xdr:rowOff>
    </xdr:from>
    <xdr:ext cx="2886075" cy="657225"/>
    <xdr:pic>
      <xdr:nvPicPr>
        <xdr:cNvPr id="0" name="image69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306</xdr:row>
      <xdr:rowOff>0</xdr:rowOff>
    </xdr:from>
    <xdr:ext cx="2171700" cy="666750"/>
    <xdr:pic>
      <xdr:nvPicPr>
        <xdr:cNvPr id="0" name="image33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307</xdr:row>
      <xdr:rowOff>0</xdr:rowOff>
    </xdr:from>
    <xdr:ext cx="2381250" cy="666750"/>
    <xdr:pic>
      <xdr:nvPicPr>
        <xdr:cNvPr id="0" name="image6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308</xdr:row>
      <xdr:rowOff>0</xdr:rowOff>
    </xdr:from>
    <xdr:ext cx="2886075" cy="638175"/>
    <xdr:pic>
      <xdr:nvPicPr>
        <xdr:cNvPr id="0" name="image78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309</xdr:row>
      <xdr:rowOff>0</xdr:rowOff>
    </xdr:from>
    <xdr:ext cx="2171700" cy="666750"/>
    <xdr:pic>
      <xdr:nvPicPr>
        <xdr:cNvPr id="0" name="image60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310</xdr:row>
      <xdr:rowOff>0</xdr:rowOff>
    </xdr:from>
    <xdr:ext cx="2276475" cy="666750"/>
    <xdr:pic>
      <xdr:nvPicPr>
        <xdr:cNvPr id="0" name="image72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311</xdr:row>
      <xdr:rowOff>0</xdr:rowOff>
    </xdr:from>
    <xdr:ext cx="2886075" cy="514350"/>
    <xdr:pic>
      <xdr:nvPicPr>
        <xdr:cNvPr id="0" name="image41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312</xdr:row>
      <xdr:rowOff>0</xdr:rowOff>
    </xdr:from>
    <xdr:ext cx="2276475" cy="666750"/>
    <xdr:pic>
      <xdr:nvPicPr>
        <xdr:cNvPr id="0" name="image47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2276475" cy="666750"/>
    <xdr:pic>
      <xdr:nvPicPr>
        <xdr:cNvPr id="0" name="image48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314</xdr:row>
      <xdr:rowOff>0</xdr:rowOff>
    </xdr:from>
    <xdr:ext cx="2276475" cy="666750"/>
    <xdr:pic>
      <xdr:nvPicPr>
        <xdr:cNvPr id="0" name="image75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315</xdr:row>
      <xdr:rowOff>0</xdr:rowOff>
    </xdr:from>
    <xdr:ext cx="2276475" cy="666750"/>
    <xdr:pic>
      <xdr:nvPicPr>
        <xdr:cNvPr id="0" name="image7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316</xdr:row>
      <xdr:rowOff>0</xdr:rowOff>
    </xdr:from>
    <xdr:ext cx="2276475" cy="666750"/>
    <xdr:pic>
      <xdr:nvPicPr>
        <xdr:cNvPr id="0" name="image79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317</xdr:row>
      <xdr:rowOff>0</xdr:rowOff>
    </xdr:from>
    <xdr:ext cx="2276475" cy="666750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318</xdr:row>
      <xdr:rowOff>0</xdr:rowOff>
    </xdr:from>
    <xdr:ext cx="2276475" cy="666750"/>
    <xdr:pic>
      <xdr:nvPicPr>
        <xdr:cNvPr id="0" name="image49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319</xdr:row>
      <xdr:rowOff>0</xdr:rowOff>
    </xdr:from>
    <xdr:ext cx="2886075" cy="590550"/>
    <xdr:pic>
      <xdr:nvPicPr>
        <xdr:cNvPr id="0" name="image54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320</xdr:row>
      <xdr:rowOff>0</xdr:rowOff>
    </xdr:from>
    <xdr:ext cx="2686050" cy="666750"/>
    <xdr:pic>
      <xdr:nvPicPr>
        <xdr:cNvPr id="0" name="image42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321</xdr:row>
      <xdr:rowOff>0</xdr:rowOff>
    </xdr:from>
    <xdr:ext cx="2886075" cy="638175"/>
    <xdr:pic>
      <xdr:nvPicPr>
        <xdr:cNvPr id="0" name="image5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322</xdr:row>
      <xdr:rowOff>0</xdr:rowOff>
    </xdr:from>
    <xdr:ext cx="2276475" cy="666750"/>
    <xdr:pic>
      <xdr:nvPicPr>
        <xdr:cNvPr id="0" name="image5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323</xdr:row>
      <xdr:rowOff>0</xdr:rowOff>
    </xdr:from>
    <xdr:ext cx="2886075" cy="514350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324</xdr:row>
      <xdr:rowOff>0</xdr:rowOff>
    </xdr:from>
    <xdr:ext cx="2171700" cy="666750"/>
    <xdr:pic>
      <xdr:nvPicPr>
        <xdr:cNvPr id="0" name="image68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337</xdr:row>
      <xdr:rowOff>0</xdr:rowOff>
    </xdr:from>
    <xdr:ext cx="2886075" cy="657225"/>
    <xdr:pic>
      <xdr:nvPicPr>
        <xdr:cNvPr id="0" name="image83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353</xdr:row>
      <xdr:rowOff>0</xdr:rowOff>
    </xdr:from>
    <xdr:ext cx="1552575" cy="666750"/>
    <xdr:pic>
      <xdr:nvPicPr>
        <xdr:cNvPr id="0" name="image6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354</xdr:row>
      <xdr:rowOff>0</xdr:rowOff>
    </xdr:from>
    <xdr:ext cx="2276475" cy="666750"/>
    <xdr:pic>
      <xdr:nvPicPr>
        <xdr:cNvPr id="0" name="image71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355</xdr:row>
      <xdr:rowOff>0</xdr:rowOff>
    </xdr:from>
    <xdr:ext cx="2276475" cy="666750"/>
    <xdr:pic>
      <xdr:nvPicPr>
        <xdr:cNvPr id="0" name="image57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356</xdr:row>
      <xdr:rowOff>0</xdr:rowOff>
    </xdr:from>
    <xdr:ext cx="2381250" cy="666750"/>
    <xdr:pic>
      <xdr:nvPicPr>
        <xdr:cNvPr id="0" name="image58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357</xdr:row>
      <xdr:rowOff>0</xdr:rowOff>
    </xdr:from>
    <xdr:ext cx="1657350" cy="666750"/>
    <xdr:pic>
      <xdr:nvPicPr>
        <xdr:cNvPr id="0" name="image53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358</xdr:row>
      <xdr:rowOff>0</xdr:rowOff>
    </xdr:from>
    <xdr:ext cx="2886075" cy="609600"/>
    <xdr:pic>
      <xdr:nvPicPr>
        <xdr:cNvPr id="0" name="image52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359</xdr:row>
      <xdr:rowOff>0</xdr:rowOff>
    </xdr:from>
    <xdr:ext cx="2886075" cy="571500"/>
    <xdr:pic>
      <xdr:nvPicPr>
        <xdr:cNvPr id="0" name="image64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360</xdr:row>
      <xdr:rowOff>0</xdr:rowOff>
    </xdr:from>
    <xdr:ext cx="2886075" cy="638175"/>
    <xdr:pic>
      <xdr:nvPicPr>
        <xdr:cNvPr id="0" name="image61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09" displayName="Table_1" name="Table_1" id="1">
  <tableColumns count="6">
    <tableColumn name="Category" id="1"/>
    <tableColumn name="Subcategory" id="2"/>
    <tableColumn name="Item Name" id="3"/>
    <tableColumn name="Reference / NDC / MFR" id="4"/>
    <tableColumn name="Source Line" id="5"/>
    <tableColumn name="Notes" id="6"/>
  </tableColumns>
  <tableStyleInfo name="By Category-style" showColumnStripes="0" showFirstColumn="1" showLastColumn="1" showRowStripes="1"/>
</table>
</file>

<file path=xl/tables/table2.xml><?xml version="1.0" encoding="utf-8"?>
<table xmlns="http://schemas.openxmlformats.org/spreadsheetml/2006/main" ref="A1:E509" displayName="Table_2" name="Table_2" id="2">
  <tableColumns count="5">
    <tableColumn name="Source Line" id="1"/>
    <tableColumn name="Item Name" id="2"/>
    <tableColumn name="Category" id="3"/>
    <tableColumn name="Subcategory" id="4"/>
    <tableColumn name="Reference / NDC / MFR" id="5"/>
  </tableColumns>
  <tableStyleInfo name="Original Order-style" showColumnStripes="0" showFirstColumn="1" showLastColumn="1" showRowStripes="1"/>
</table>
</file>

<file path=xl/tables/table3.xml><?xml version="1.0" encoding="utf-8"?>
<table xmlns="http://schemas.openxmlformats.org/spreadsheetml/2006/main" ref="A1:C22" displayName="Table_3" name="Table_3" id="3">
  <tableColumns count="3">
    <tableColumn name="Category" id="1"/>
    <tableColumn name="Count" id="2"/>
    <tableColumn name="Notes" id="3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7.88"/>
    <col customWidth="1" min="3" max="3" width="38.25"/>
    <col customWidth="1" min="4" max="4" width="28.25"/>
    <col customWidth="1" min="5" max="5" width="34.25"/>
    <col customWidth="1" min="6" max="6" width="15.5"/>
  </cols>
  <sheetData>
    <row r="1">
      <c r="A1" s="1" t="s">
        <v>0</v>
      </c>
      <c r="B1" s="1" t="s">
        <v>2</v>
      </c>
      <c r="C1" s="3" t="s">
        <v>4</v>
      </c>
      <c r="D1" s="3" t="s">
        <v>5</v>
      </c>
      <c r="E1" s="3" t="s">
        <v>6</v>
      </c>
      <c r="F1" s="3" t="s">
        <v>7</v>
      </c>
      <c r="G1" s="5" t="s">
        <v>8</v>
      </c>
      <c r="H1" s="7"/>
      <c r="I1" s="7"/>
    </row>
    <row r="2" ht="52.5" customHeight="1">
      <c r="A2" s="12"/>
      <c r="B2" s="9" t="s">
        <v>11</v>
      </c>
      <c r="C2" s="10" t="s">
        <v>13</v>
      </c>
      <c r="D2" s="10">
        <v>1.0</v>
      </c>
      <c r="E2" s="10">
        <v>11.0</v>
      </c>
      <c r="F2" s="13"/>
      <c r="G2" s="15"/>
      <c r="H2" s="13"/>
      <c r="I2" s="13"/>
    </row>
    <row r="3" ht="52.5" customHeight="1">
      <c r="A3" s="18"/>
      <c r="B3" s="19" t="s">
        <v>15</v>
      </c>
      <c r="C3" s="20" t="s">
        <v>16</v>
      </c>
      <c r="D3" s="10">
        <v>1.0</v>
      </c>
      <c r="E3" s="10">
        <v>134.0</v>
      </c>
      <c r="F3" s="10"/>
      <c r="G3" s="14">
        <v>1.22</v>
      </c>
      <c r="H3" s="13"/>
      <c r="I3" s="13"/>
    </row>
    <row r="4" ht="52.5" customHeight="1">
      <c r="A4" s="9"/>
      <c r="B4" s="19" t="s">
        <v>20</v>
      </c>
      <c r="C4" s="20" t="s">
        <v>22</v>
      </c>
      <c r="D4" s="10">
        <v>1.0</v>
      </c>
      <c r="E4" s="10">
        <v>111.0</v>
      </c>
      <c r="F4" s="10"/>
      <c r="G4" s="14">
        <v>0.96</v>
      </c>
      <c r="H4" s="13"/>
      <c r="I4" s="13"/>
    </row>
    <row r="5" ht="52.5" customHeight="1">
      <c r="A5" s="18"/>
      <c r="B5" s="19" t="s">
        <v>25</v>
      </c>
      <c r="C5" s="20" t="s">
        <v>27</v>
      </c>
      <c r="D5" s="10">
        <v>1.0</v>
      </c>
      <c r="E5" s="10">
        <v>42.0</v>
      </c>
      <c r="F5" s="23"/>
      <c r="G5" s="14">
        <v>3.2896</v>
      </c>
      <c r="H5" s="13"/>
      <c r="I5" s="13"/>
    </row>
    <row r="6" ht="52.5" customHeight="1">
      <c r="A6" s="18"/>
      <c r="B6" s="19" t="s">
        <v>30</v>
      </c>
      <c r="C6" s="20" t="s">
        <v>32</v>
      </c>
      <c r="D6" s="10">
        <v>1.0</v>
      </c>
      <c r="E6" s="10">
        <v>60.0</v>
      </c>
      <c r="F6" s="13"/>
      <c r="G6" s="14">
        <v>0.83</v>
      </c>
      <c r="H6" s="13"/>
      <c r="I6" s="13"/>
    </row>
    <row r="7" ht="52.5" customHeight="1">
      <c r="A7" s="18"/>
      <c r="B7" s="19" t="s">
        <v>35</v>
      </c>
      <c r="C7" s="20" t="s">
        <v>36</v>
      </c>
      <c r="D7" s="10">
        <v>1.0</v>
      </c>
      <c r="E7" s="10">
        <v>66.0</v>
      </c>
      <c r="F7" s="10"/>
      <c r="G7" s="14">
        <v>2.31</v>
      </c>
      <c r="H7" s="13"/>
      <c r="I7" s="13"/>
    </row>
    <row r="8" ht="52.5" customHeight="1">
      <c r="A8" s="9"/>
      <c r="B8" s="19" t="s">
        <v>39</v>
      </c>
      <c r="C8" s="20" t="s">
        <v>40</v>
      </c>
      <c r="D8" s="10">
        <v>1.0</v>
      </c>
      <c r="E8" s="10">
        <v>36.0</v>
      </c>
      <c r="F8" s="10"/>
      <c r="G8" s="14">
        <v>4.3666</v>
      </c>
      <c r="H8" s="13"/>
      <c r="I8" s="13"/>
    </row>
    <row r="9" ht="52.5" customHeight="1">
      <c r="A9" s="18"/>
      <c r="B9" s="19" t="s">
        <v>43</v>
      </c>
      <c r="C9" s="20" t="s">
        <v>44</v>
      </c>
      <c r="D9" s="10">
        <v>1.0</v>
      </c>
      <c r="E9" s="10">
        <v>24.0</v>
      </c>
      <c r="F9" s="10"/>
      <c r="G9" s="14">
        <v>4.3666</v>
      </c>
      <c r="H9" s="13"/>
      <c r="I9" s="13"/>
    </row>
    <row r="10" ht="52.5" customHeight="1">
      <c r="A10" s="18"/>
      <c r="B10" s="19" t="s">
        <v>47</v>
      </c>
      <c r="C10" s="20" t="s">
        <v>48</v>
      </c>
      <c r="D10" s="10">
        <v>1.0</v>
      </c>
      <c r="E10" s="10">
        <v>24.0</v>
      </c>
      <c r="F10" s="10"/>
      <c r="G10" s="14">
        <v>4.3666</v>
      </c>
      <c r="H10" s="13"/>
      <c r="I10" s="13"/>
    </row>
    <row r="11" ht="52.5" customHeight="1">
      <c r="A11" s="18"/>
      <c r="B11" s="19" t="s">
        <v>52</v>
      </c>
      <c r="C11" s="20" t="s">
        <v>53</v>
      </c>
      <c r="D11" s="10">
        <v>1.0</v>
      </c>
      <c r="E11" s="10">
        <v>13.0</v>
      </c>
      <c r="F11" s="13"/>
      <c r="G11" s="14">
        <v>0.7119</v>
      </c>
      <c r="H11" s="13"/>
      <c r="I11" s="13"/>
    </row>
    <row r="12" ht="52.5" customHeight="1">
      <c r="A12" s="18"/>
      <c r="B12" s="19" t="s">
        <v>57</v>
      </c>
      <c r="C12" s="20" t="s">
        <v>58</v>
      </c>
      <c r="D12" s="10">
        <v>1.0</v>
      </c>
      <c r="E12" s="10">
        <v>28.0</v>
      </c>
      <c r="F12" s="13"/>
      <c r="G12" s="14">
        <v>4.737</v>
      </c>
      <c r="H12" s="13"/>
      <c r="I12" s="13"/>
    </row>
    <row r="13" ht="52.5" customHeight="1">
      <c r="A13" s="9"/>
      <c r="B13" s="19" t="s">
        <v>59</v>
      </c>
      <c r="C13" s="20" t="s">
        <v>61</v>
      </c>
      <c r="D13" s="10">
        <v>1.0</v>
      </c>
      <c r="E13" s="10">
        <v>500.0</v>
      </c>
      <c r="F13" s="10" t="s">
        <v>62</v>
      </c>
      <c r="G13" s="14">
        <v>0.01</v>
      </c>
      <c r="H13" s="13"/>
      <c r="I13" s="13"/>
    </row>
    <row r="14" ht="52.5" customHeight="1">
      <c r="A14" s="9"/>
      <c r="B14" s="19" t="s">
        <v>64</v>
      </c>
      <c r="C14" s="20" t="s">
        <v>65</v>
      </c>
      <c r="D14" s="10">
        <v>1.0</v>
      </c>
      <c r="E14" s="10">
        <v>200.0</v>
      </c>
      <c r="F14" s="10" t="s">
        <v>66</v>
      </c>
      <c r="G14" s="14">
        <v>0.035</v>
      </c>
      <c r="H14" s="13"/>
      <c r="I14" s="13"/>
    </row>
    <row r="15" ht="52.5" customHeight="1">
      <c r="A15" s="9"/>
      <c r="B15" s="19" t="s">
        <v>68</v>
      </c>
      <c r="C15" s="20" t="s">
        <v>69</v>
      </c>
      <c r="D15" s="10">
        <v>1.0</v>
      </c>
      <c r="E15" s="10">
        <v>400.0</v>
      </c>
      <c r="F15" s="10" t="s">
        <v>70</v>
      </c>
      <c r="G15" s="14">
        <v>0.0677</v>
      </c>
      <c r="H15" s="13"/>
      <c r="I15" s="13"/>
    </row>
    <row r="16" ht="52.5" customHeight="1">
      <c r="A16" s="18"/>
      <c r="B16" s="19" t="s">
        <v>71</v>
      </c>
      <c r="C16" s="20" t="s">
        <v>72</v>
      </c>
      <c r="D16" s="10">
        <v>1.0</v>
      </c>
      <c r="E16" s="10">
        <v>0.0</v>
      </c>
      <c r="F16" s="13"/>
      <c r="G16" s="15">
        <v>0.2135</v>
      </c>
      <c r="H16" s="13"/>
      <c r="I16" s="13"/>
    </row>
    <row r="17" ht="52.5" customHeight="1">
      <c r="A17" s="18"/>
      <c r="B17" s="19" t="s">
        <v>76</v>
      </c>
      <c r="C17" s="20" t="s">
        <v>77</v>
      </c>
      <c r="D17" s="10">
        <v>1.0</v>
      </c>
      <c r="E17" s="10">
        <v>0.0</v>
      </c>
      <c r="F17" s="13"/>
      <c r="G17" s="15">
        <v>0.2562</v>
      </c>
      <c r="H17" s="13"/>
      <c r="I17" s="13"/>
    </row>
    <row r="18" ht="52.5" customHeight="1">
      <c r="A18" s="9"/>
      <c r="B18" s="19" t="s">
        <v>80</v>
      </c>
      <c r="C18" s="20" t="s">
        <v>81</v>
      </c>
      <c r="D18" s="10">
        <v>1.0</v>
      </c>
      <c r="E18" s="10">
        <v>1.0</v>
      </c>
      <c r="F18" s="10" t="s">
        <v>82</v>
      </c>
      <c r="G18" s="15">
        <v>0.0766</v>
      </c>
      <c r="H18" s="13"/>
      <c r="I18" s="13"/>
    </row>
    <row r="19" ht="52.5" customHeight="1">
      <c r="A19" s="18"/>
      <c r="B19" s="19" t="s">
        <v>84</v>
      </c>
      <c r="C19" s="20" t="s">
        <v>85</v>
      </c>
      <c r="D19" s="10">
        <v>1.0</v>
      </c>
      <c r="E19" s="10">
        <v>29.0</v>
      </c>
      <c r="F19" s="13"/>
      <c r="G19" s="14">
        <v>2.5115</v>
      </c>
      <c r="H19" s="13"/>
      <c r="I19" s="13"/>
    </row>
    <row r="20" ht="52.5" customHeight="1">
      <c r="A20" s="9"/>
      <c r="B20" s="19" t="s">
        <v>87</v>
      </c>
      <c r="C20" s="20" t="s">
        <v>88</v>
      </c>
      <c r="D20" s="10">
        <v>1.0</v>
      </c>
      <c r="E20" s="10">
        <v>20.0</v>
      </c>
      <c r="F20" s="13"/>
      <c r="G20" s="14">
        <v>9.1768</v>
      </c>
      <c r="H20" s="13"/>
      <c r="I20" s="13"/>
    </row>
    <row r="21" ht="52.5" customHeight="1">
      <c r="A21" s="18"/>
      <c r="B21" s="19" t="s">
        <v>90</v>
      </c>
      <c r="C21" s="20" t="s">
        <v>91</v>
      </c>
      <c r="D21" s="10">
        <v>1.0</v>
      </c>
      <c r="E21" s="10">
        <v>0.0</v>
      </c>
      <c r="F21" s="13"/>
      <c r="G21" s="14">
        <v>0.0255</v>
      </c>
      <c r="H21" s="13"/>
      <c r="I21" s="13"/>
    </row>
    <row r="22" ht="52.5" customHeight="1">
      <c r="A22" s="9"/>
      <c r="B22" s="19" t="s">
        <v>93</v>
      </c>
      <c r="C22" s="20" t="s">
        <v>94</v>
      </c>
      <c r="D22" s="10">
        <v>1.0</v>
      </c>
      <c r="E22" s="10">
        <v>7.0</v>
      </c>
      <c r="F22" s="13"/>
      <c r="G22" s="14">
        <v>2.28</v>
      </c>
      <c r="H22" s="13"/>
      <c r="I22" s="13"/>
    </row>
    <row r="23" ht="52.5" customHeight="1">
      <c r="A23" s="9"/>
      <c r="B23" s="19" t="s">
        <v>96</v>
      </c>
      <c r="C23" s="20" t="s">
        <v>97</v>
      </c>
      <c r="D23" s="10">
        <v>1.0</v>
      </c>
      <c r="E23" s="10">
        <v>9.0</v>
      </c>
      <c r="F23" s="13"/>
      <c r="G23" s="14">
        <v>8.83</v>
      </c>
      <c r="H23" s="13"/>
      <c r="I23" s="13"/>
    </row>
    <row r="24" ht="52.5" customHeight="1">
      <c r="A24" s="18"/>
      <c r="B24" s="19" t="s">
        <v>99</v>
      </c>
      <c r="C24" s="24" t="s">
        <v>100</v>
      </c>
      <c r="D24" s="10">
        <v>1.0</v>
      </c>
      <c r="E24" s="10">
        <v>0.0</v>
      </c>
      <c r="F24" s="13"/>
      <c r="G24" s="14">
        <v>18.99</v>
      </c>
      <c r="H24" s="13"/>
      <c r="I24" s="13"/>
    </row>
    <row r="25" ht="52.5" customHeight="1">
      <c r="A25" s="18"/>
      <c r="B25" s="19" t="s">
        <v>103</v>
      </c>
      <c r="C25" s="20" t="s">
        <v>104</v>
      </c>
      <c r="D25" s="10">
        <v>1.0</v>
      </c>
      <c r="E25" s="10">
        <v>8.0</v>
      </c>
      <c r="F25" s="13"/>
      <c r="G25" s="14">
        <v>13.48</v>
      </c>
      <c r="H25" s="13"/>
      <c r="I25" s="13"/>
    </row>
    <row r="26" ht="52.5" customHeight="1">
      <c r="A26" s="18"/>
      <c r="B26" s="19" t="s">
        <v>106</v>
      </c>
      <c r="C26" s="20" t="s">
        <v>107</v>
      </c>
      <c r="D26" s="10">
        <v>1.0</v>
      </c>
      <c r="E26" s="10">
        <v>7.0</v>
      </c>
      <c r="F26" s="13"/>
      <c r="G26" s="14">
        <v>13.48</v>
      </c>
      <c r="H26" s="13"/>
      <c r="I26" s="13"/>
    </row>
    <row r="27" ht="52.5" customHeight="1">
      <c r="A27" s="18"/>
      <c r="B27" s="19" t="s">
        <v>109</v>
      </c>
      <c r="C27" s="20" t="s">
        <v>110</v>
      </c>
      <c r="D27" s="10">
        <v>1.0</v>
      </c>
      <c r="E27" s="10">
        <v>3.0</v>
      </c>
      <c r="F27" s="13"/>
      <c r="G27" s="14">
        <v>13.48</v>
      </c>
      <c r="H27" s="13"/>
      <c r="I27" s="13"/>
    </row>
    <row r="28" ht="52.5" customHeight="1">
      <c r="A28" s="18"/>
      <c r="B28" s="19" t="s">
        <v>112</v>
      </c>
      <c r="C28" s="20" t="s">
        <v>113</v>
      </c>
      <c r="D28" s="10">
        <v>1.0</v>
      </c>
      <c r="E28" s="10">
        <v>8.0</v>
      </c>
      <c r="F28" s="13"/>
      <c r="G28" s="14">
        <v>13.48</v>
      </c>
      <c r="H28" s="13"/>
      <c r="I28" s="13"/>
    </row>
    <row r="29" ht="52.5" customHeight="1">
      <c r="A29" s="9"/>
      <c r="B29" s="19" t="s">
        <v>115</v>
      </c>
      <c r="C29" s="20" t="s">
        <v>116</v>
      </c>
      <c r="D29" s="10">
        <v>1.0</v>
      </c>
      <c r="E29" s="10">
        <v>53.0</v>
      </c>
      <c r="F29" s="10"/>
      <c r="G29" s="14">
        <v>2.0367</v>
      </c>
      <c r="H29" s="13"/>
      <c r="I29" s="13"/>
    </row>
    <row r="30" ht="52.5" customHeight="1">
      <c r="A30" s="9"/>
      <c r="B30" s="19" t="s">
        <v>118</v>
      </c>
      <c r="C30" s="20" t="s">
        <v>119</v>
      </c>
      <c r="D30" s="10">
        <v>1.0</v>
      </c>
      <c r="E30" s="10">
        <v>50.0</v>
      </c>
      <c r="F30" s="10"/>
      <c r="G30" s="14">
        <v>1.0647</v>
      </c>
      <c r="H30" s="13"/>
      <c r="I30" s="13"/>
    </row>
    <row r="31" ht="52.5" customHeight="1">
      <c r="A31" s="9"/>
      <c r="B31" s="19" t="s">
        <v>124</v>
      </c>
      <c r="C31" s="20" t="s">
        <v>125</v>
      </c>
      <c r="D31" s="10">
        <v>1.0</v>
      </c>
      <c r="E31" s="10">
        <v>39.0</v>
      </c>
      <c r="F31" s="10"/>
      <c r="G31" s="14">
        <v>1.21</v>
      </c>
      <c r="H31" s="13"/>
      <c r="I31" s="13"/>
    </row>
    <row r="32" ht="52.5" customHeight="1">
      <c r="A32" s="18"/>
      <c r="B32" s="19" t="s">
        <v>129</v>
      </c>
      <c r="C32" s="20" t="s">
        <v>130</v>
      </c>
      <c r="D32" s="10">
        <v>1.0</v>
      </c>
      <c r="E32" s="10">
        <v>24.0</v>
      </c>
      <c r="F32" s="16"/>
      <c r="G32" s="25">
        <v>4.9883</v>
      </c>
      <c r="H32" s="13"/>
      <c r="I32" s="13"/>
    </row>
    <row r="33" ht="52.5" customHeight="1">
      <c r="A33" s="9"/>
      <c r="B33" s="19" t="s">
        <v>132</v>
      </c>
      <c r="C33" s="20" t="s">
        <v>133</v>
      </c>
      <c r="D33" s="10">
        <v>1.0</v>
      </c>
      <c r="E33" s="10">
        <v>8.0</v>
      </c>
      <c r="F33" s="10"/>
      <c r="G33" s="14">
        <v>5.78</v>
      </c>
      <c r="H33" s="13"/>
      <c r="I33" s="13"/>
    </row>
    <row r="34" ht="52.5" customHeight="1">
      <c r="A34" s="9"/>
      <c r="B34" s="19" t="s">
        <v>138</v>
      </c>
      <c r="C34" s="20" t="s">
        <v>139</v>
      </c>
      <c r="D34" s="10">
        <v>1.0</v>
      </c>
      <c r="E34" s="10">
        <v>72.0</v>
      </c>
      <c r="F34" s="13"/>
      <c r="G34" s="14">
        <v>1.9105</v>
      </c>
      <c r="H34" s="13"/>
      <c r="I34" s="13"/>
    </row>
    <row r="35" ht="52.5" customHeight="1">
      <c r="A35" s="9"/>
      <c r="B35" s="19" t="s">
        <v>141</v>
      </c>
      <c r="C35" s="20" t="s">
        <v>142</v>
      </c>
      <c r="D35" s="10">
        <v>1.0</v>
      </c>
      <c r="E35" s="10">
        <v>31.0</v>
      </c>
      <c r="F35" s="13"/>
      <c r="G35" s="14">
        <v>6.3367</v>
      </c>
      <c r="H35" s="13"/>
      <c r="I35" s="13"/>
    </row>
    <row r="36" ht="52.5" customHeight="1">
      <c r="A36" s="9"/>
      <c r="B36" s="19" t="s">
        <v>143</v>
      </c>
      <c r="C36" s="20" t="s">
        <v>144</v>
      </c>
      <c r="D36" s="10">
        <v>1.0</v>
      </c>
      <c r="E36" s="10">
        <v>94.0</v>
      </c>
      <c r="F36" s="13"/>
      <c r="G36" s="14">
        <v>0.766</v>
      </c>
      <c r="H36" s="13"/>
      <c r="I36" s="13"/>
    </row>
    <row r="37" ht="52.5" customHeight="1">
      <c r="A37" s="9"/>
      <c r="B37" s="19" t="s">
        <v>145</v>
      </c>
      <c r="C37" s="20" t="s">
        <v>146</v>
      </c>
      <c r="D37" s="10">
        <v>1.0</v>
      </c>
      <c r="E37" s="10">
        <v>65.0</v>
      </c>
      <c r="F37" s="13"/>
      <c r="G37" s="14">
        <v>0.924</v>
      </c>
      <c r="H37" s="13"/>
      <c r="I37" s="13"/>
    </row>
    <row r="38" ht="52.5" customHeight="1">
      <c r="A38" s="9"/>
      <c r="B38" s="19" t="s">
        <v>147</v>
      </c>
      <c r="C38" s="20" t="s">
        <v>148</v>
      </c>
      <c r="D38" s="10">
        <v>1.0</v>
      </c>
      <c r="E38" s="10">
        <v>87.0</v>
      </c>
      <c r="F38" s="13"/>
      <c r="G38" s="14">
        <v>0.3788</v>
      </c>
      <c r="H38" s="13"/>
      <c r="I38" s="13"/>
    </row>
    <row r="39" ht="52.5" customHeight="1">
      <c r="A39" s="9"/>
      <c r="B39" s="19" t="s">
        <v>149</v>
      </c>
      <c r="C39" s="20" t="s">
        <v>150</v>
      </c>
      <c r="D39" s="10">
        <v>1.0</v>
      </c>
      <c r="E39" s="10">
        <v>36.0</v>
      </c>
      <c r="F39" s="13"/>
      <c r="G39" s="14">
        <v>2.8498</v>
      </c>
      <c r="H39" s="13"/>
      <c r="I39" s="13"/>
    </row>
    <row r="40" ht="52.5" customHeight="1">
      <c r="A40" s="9"/>
      <c r="B40" s="19" t="s">
        <v>152</v>
      </c>
      <c r="C40" s="20" t="s">
        <v>154</v>
      </c>
      <c r="D40" s="10">
        <v>1.0</v>
      </c>
      <c r="E40" s="10">
        <v>98.0</v>
      </c>
      <c r="F40" s="13"/>
      <c r="G40" s="14">
        <v>0.4428</v>
      </c>
      <c r="H40" s="13"/>
      <c r="I40" s="13"/>
    </row>
    <row r="41" ht="52.5" customHeight="1">
      <c r="A41" s="9"/>
      <c r="B41" s="19" t="s">
        <v>155</v>
      </c>
      <c r="C41" s="20" t="s">
        <v>156</v>
      </c>
      <c r="D41" s="10">
        <v>1.0</v>
      </c>
      <c r="E41" s="10">
        <v>86.0</v>
      </c>
      <c r="F41" s="13"/>
      <c r="G41" s="14">
        <v>0.3062</v>
      </c>
      <c r="H41" s="13"/>
      <c r="I41" s="13"/>
    </row>
    <row r="42" ht="52.5" customHeight="1">
      <c r="A42" s="9"/>
      <c r="B42" s="19" t="s">
        <v>157</v>
      </c>
      <c r="C42" s="20" t="s">
        <v>158</v>
      </c>
      <c r="D42" s="10">
        <v>1.0</v>
      </c>
      <c r="E42" s="10">
        <v>33.0</v>
      </c>
      <c r="F42" s="13"/>
      <c r="G42" s="14">
        <v>0.37</v>
      </c>
      <c r="H42" s="13"/>
      <c r="I42" s="13"/>
    </row>
    <row r="43" ht="52.5" customHeight="1">
      <c r="A43" s="18"/>
      <c r="B43" s="19" t="s">
        <v>159</v>
      </c>
      <c r="C43" s="20" t="s">
        <v>160</v>
      </c>
      <c r="D43" s="10">
        <v>1.0</v>
      </c>
      <c r="E43" s="10">
        <v>11.0</v>
      </c>
      <c r="F43" s="13"/>
      <c r="G43" s="14">
        <v>2.75</v>
      </c>
      <c r="H43" s="13"/>
      <c r="I43" s="13"/>
    </row>
    <row r="44" ht="52.5" customHeight="1">
      <c r="A44" s="9"/>
      <c r="B44" s="19" t="s">
        <v>161</v>
      </c>
      <c r="C44" s="20" t="s">
        <v>162</v>
      </c>
      <c r="D44" s="10">
        <v>1.0</v>
      </c>
      <c r="E44" s="10">
        <v>313.0</v>
      </c>
      <c r="F44" s="10"/>
      <c r="G44" s="14">
        <v>1.4637</v>
      </c>
      <c r="H44" s="13"/>
      <c r="I44" s="13"/>
    </row>
    <row r="45" ht="52.5" customHeight="1">
      <c r="A45" s="9"/>
      <c r="B45" s="19" t="s">
        <v>165</v>
      </c>
      <c r="C45" s="20" t="s">
        <v>166</v>
      </c>
      <c r="D45" s="10">
        <v>1.0</v>
      </c>
      <c r="E45" s="20">
        <v>14.0</v>
      </c>
      <c r="F45" s="13"/>
      <c r="G45" s="14">
        <v>0.68</v>
      </c>
      <c r="H45" s="13"/>
      <c r="I45" s="13"/>
    </row>
    <row r="46" ht="52.5" customHeight="1">
      <c r="A46" s="9"/>
      <c r="B46" s="19" t="s">
        <v>167</v>
      </c>
      <c r="C46" s="20" t="s">
        <v>168</v>
      </c>
      <c r="D46" s="10">
        <v>1.0</v>
      </c>
      <c r="E46" s="10">
        <v>401.0</v>
      </c>
      <c r="F46" s="13"/>
      <c r="G46" s="14">
        <v>0.0014</v>
      </c>
      <c r="H46" s="13"/>
      <c r="I46" s="13"/>
    </row>
    <row r="47" ht="52.5" customHeight="1">
      <c r="A47" s="9"/>
      <c r="B47" s="19" t="s">
        <v>170</v>
      </c>
      <c r="C47" s="20" t="s">
        <v>172</v>
      </c>
      <c r="D47" s="10">
        <v>1.0</v>
      </c>
      <c r="E47" s="10">
        <v>64.0</v>
      </c>
      <c r="F47" s="13"/>
      <c r="G47" s="14">
        <v>0.598</v>
      </c>
      <c r="H47" s="13"/>
      <c r="I47" s="13"/>
    </row>
    <row r="48" ht="52.5" customHeight="1">
      <c r="A48" s="9"/>
      <c r="B48" s="19" t="s">
        <v>173</v>
      </c>
      <c r="C48" s="20" t="s">
        <v>174</v>
      </c>
      <c r="D48" s="10">
        <v>1.0</v>
      </c>
      <c r="E48" s="10">
        <v>226.0</v>
      </c>
      <c r="F48" s="13"/>
      <c r="G48" s="15">
        <v>0.3162</v>
      </c>
      <c r="H48" s="13"/>
      <c r="I48" s="13"/>
    </row>
    <row r="49" ht="52.5" customHeight="1">
      <c r="A49" s="26"/>
      <c r="B49" s="20" t="s">
        <v>177</v>
      </c>
      <c r="C49" s="20" t="s">
        <v>178</v>
      </c>
      <c r="D49" s="10">
        <v>1.0</v>
      </c>
      <c r="E49" s="10">
        <v>100.0</v>
      </c>
      <c r="F49" s="13"/>
      <c r="G49" s="15">
        <v>0.3162</v>
      </c>
      <c r="H49" s="13"/>
      <c r="I49" s="13"/>
    </row>
    <row r="50" ht="52.5" customHeight="1">
      <c r="A50" s="9"/>
      <c r="B50" s="19" t="s">
        <v>179</v>
      </c>
      <c r="C50" s="20" t="s">
        <v>180</v>
      </c>
      <c r="D50" s="10">
        <v>1.0</v>
      </c>
      <c r="E50" s="10">
        <v>100.0</v>
      </c>
      <c r="F50" s="13"/>
      <c r="G50" s="15">
        <v>0.3162</v>
      </c>
      <c r="H50" s="13"/>
      <c r="I50" s="13"/>
    </row>
    <row r="51" ht="52.5" customHeight="1">
      <c r="A51" s="9"/>
      <c r="B51" s="19" t="s">
        <v>183</v>
      </c>
      <c r="C51" s="20" t="s">
        <v>184</v>
      </c>
      <c r="D51" s="10">
        <v>1.0</v>
      </c>
      <c r="E51" s="10">
        <v>5.0</v>
      </c>
      <c r="F51" s="13"/>
      <c r="G51" s="14">
        <v>4.8383</v>
      </c>
      <c r="H51" s="13"/>
      <c r="I51" s="13"/>
    </row>
    <row r="52" ht="52.5" customHeight="1">
      <c r="A52" s="9"/>
      <c r="B52" s="19" t="s">
        <v>185</v>
      </c>
      <c r="C52" s="20" t="s">
        <v>187</v>
      </c>
      <c r="D52" s="10">
        <v>1.0</v>
      </c>
      <c r="E52" s="10">
        <v>10.0</v>
      </c>
      <c r="F52" s="13"/>
      <c r="G52" s="15">
        <v>4.6667</v>
      </c>
      <c r="H52" s="13"/>
      <c r="I52" s="13"/>
    </row>
    <row r="53" ht="52.5" customHeight="1">
      <c r="A53" s="9"/>
      <c r="B53" s="19" t="s">
        <v>189</v>
      </c>
      <c r="C53" s="20" t="s">
        <v>190</v>
      </c>
      <c r="D53" s="10">
        <v>1.0</v>
      </c>
      <c r="E53" s="10">
        <v>50.0</v>
      </c>
      <c r="F53" s="13"/>
      <c r="G53" s="15">
        <v>5.5192</v>
      </c>
      <c r="H53" s="13"/>
      <c r="I53" s="13"/>
    </row>
    <row r="54" ht="52.5" customHeight="1">
      <c r="A54" s="9"/>
      <c r="B54" s="19" t="s">
        <v>193</v>
      </c>
      <c r="C54" s="20" t="s">
        <v>194</v>
      </c>
      <c r="D54" s="10">
        <v>1.0</v>
      </c>
      <c r="E54" s="10">
        <v>61.0</v>
      </c>
      <c r="F54" s="13"/>
      <c r="G54" s="15">
        <v>3.8675</v>
      </c>
      <c r="H54" s="13"/>
      <c r="I54" s="13"/>
    </row>
    <row r="55" ht="52.5" customHeight="1">
      <c r="A55" s="9"/>
      <c r="B55" s="19" t="s">
        <v>196</v>
      </c>
      <c r="C55" s="20" t="s">
        <v>197</v>
      </c>
      <c r="D55" s="10">
        <v>1.0</v>
      </c>
      <c r="E55" s="10">
        <v>6.0</v>
      </c>
      <c r="F55" s="13"/>
      <c r="G55" s="14">
        <v>4.83</v>
      </c>
      <c r="H55" s="13"/>
      <c r="I55" s="13"/>
    </row>
    <row r="56" ht="52.5" customHeight="1">
      <c r="A56" s="18"/>
      <c r="B56" s="19" t="s">
        <v>198</v>
      </c>
      <c r="C56" s="20" t="s">
        <v>199</v>
      </c>
      <c r="D56" s="10">
        <v>1.0</v>
      </c>
      <c r="E56" s="10">
        <v>0.0</v>
      </c>
      <c r="F56" s="13"/>
      <c r="G56" s="14">
        <v>163.4</v>
      </c>
      <c r="H56" s="13"/>
      <c r="I56" s="13"/>
    </row>
    <row r="57" ht="52.5" customHeight="1">
      <c r="A57" s="9"/>
      <c r="B57" s="19" t="s">
        <v>200</v>
      </c>
      <c r="C57" s="20" t="s">
        <v>201</v>
      </c>
      <c r="D57" s="10">
        <v>1.0</v>
      </c>
      <c r="E57" s="10">
        <v>24.0</v>
      </c>
      <c r="F57" s="13"/>
      <c r="G57" s="14">
        <v>11.55</v>
      </c>
      <c r="H57" s="13"/>
      <c r="I57" s="13"/>
    </row>
    <row r="58" ht="52.5" customHeight="1">
      <c r="A58" s="18"/>
      <c r="B58" s="19" t="s">
        <v>203</v>
      </c>
      <c r="C58" s="20" t="s">
        <v>204</v>
      </c>
      <c r="D58" s="10">
        <v>1.0</v>
      </c>
      <c r="E58" s="10">
        <v>18.0</v>
      </c>
      <c r="F58" s="13"/>
      <c r="G58" s="14">
        <v>13.75</v>
      </c>
      <c r="H58" s="13"/>
      <c r="I58" s="13"/>
    </row>
    <row r="59" ht="52.5" customHeight="1">
      <c r="A59" s="9"/>
      <c r="B59" s="19" t="s">
        <v>206</v>
      </c>
      <c r="C59" s="20" t="s">
        <v>207</v>
      </c>
      <c r="D59" s="10">
        <v>1.0</v>
      </c>
      <c r="E59" s="10">
        <v>17.0</v>
      </c>
      <c r="F59" s="13"/>
      <c r="G59" s="14">
        <v>22.7</v>
      </c>
      <c r="H59" s="13"/>
      <c r="I59" s="13"/>
    </row>
    <row r="60" ht="52.5" customHeight="1">
      <c r="A60" s="9"/>
      <c r="B60" s="19" t="s">
        <v>211</v>
      </c>
      <c r="C60" s="20" t="s">
        <v>212</v>
      </c>
      <c r="D60" s="10">
        <v>4.0</v>
      </c>
      <c r="E60" s="10">
        <v>214.0</v>
      </c>
      <c r="F60" s="13"/>
      <c r="G60" s="15" t="s">
        <v>213</v>
      </c>
      <c r="H60" s="13"/>
      <c r="I60" s="13"/>
    </row>
    <row r="61" ht="52.5" customHeight="1">
      <c r="A61" s="9"/>
      <c r="B61" s="19" t="s">
        <v>214</v>
      </c>
      <c r="C61" s="20" t="s">
        <v>216</v>
      </c>
      <c r="D61" s="10">
        <v>1.0</v>
      </c>
      <c r="E61" s="10">
        <v>120.0</v>
      </c>
      <c r="F61" s="13"/>
      <c r="G61" s="15" t="s">
        <v>217</v>
      </c>
      <c r="H61" s="13"/>
      <c r="I61" s="13"/>
    </row>
    <row r="62" ht="52.5" customHeight="1">
      <c r="A62" s="9"/>
      <c r="B62" s="19" t="s">
        <v>218</v>
      </c>
      <c r="C62" s="20" t="s">
        <v>219</v>
      </c>
      <c r="D62" s="10">
        <v>1.0</v>
      </c>
      <c r="E62" s="10">
        <v>647.0</v>
      </c>
      <c r="F62" s="13"/>
      <c r="G62" s="15" t="s">
        <v>221</v>
      </c>
      <c r="H62" s="13"/>
      <c r="I62" s="13"/>
    </row>
    <row r="63" ht="52.5" customHeight="1">
      <c r="A63" s="9"/>
      <c r="B63" s="19" t="s">
        <v>222</v>
      </c>
      <c r="C63" s="20" t="s">
        <v>223</v>
      </c>
      <c r="D63" s="10">
        <v>1.0</v>
      </c>
      <c r="E63" s="10">
        <v>201.0</v>
      </c>
      <c r="F63" s="13"/>
      <c r="G63" s="15" t="s">
        <v>224</v>
      </c>
      <c r="H63" s="13"/>
      <c r="I63" s="13"/>
    </row>
    <row r="64" ht="52.5" customHeight="1">
      <c r="A64" s="9"/>
      <c r="B64" s="19" t="s">
        <v>226</v>
      </c>
      <c r="C64" s="20" t="s">
        <v>227</v>
      </c>
      <c r="D64" s="10">
        <v>1.0</v>
      </c>
      <c r="E64" s="10">
        <v>136.0</v>
      </c>
      <c r="F64" s="13"/>
      <c r="G64" s="15" t="s">
        <v>228</v>
      </c>
      <c r="H64" s="13"/>
      <c r="I64" s="13"/>
    </row>
    <row r="65" ht="52.5" customHeight="1">
      <c r="A65" s="9"/>
      <c r="B65" s="19" t="s">
        <v>230</v>
      </c>
      <c r="C65" s="20" t="s">
        <v>231</v>
      </c>
      <c r="D65" s="10">
        <v>1.0</v>
      </c>
      <c r="E65" s="10">
        <v>104.0</v>
      </c>
      <c r="F65" s="13"/>
      <c r="G65" s="15" t="s">
        <v>232</v>
      </c>
      <c r="H65" s="13"/>
      <c r="I65" s="13"/>
    </row>
    <row r="66" ht="52.5" customHeight="1">
      <c r="A66" s="9"/>
      <c r="B66" s="19" t="s">
        <v>234</v>
      </c>
      <c r="C66" s="20" t="s">
        <v>235</v>
      </c>
      <c r="D66" s="10">
        <v>1.0</v>
      </c>
      <c r="E66" s="10">
        <v>70.0</v>
      </c>
      <c r="F66" s="13"/>
      <c r="G66" s="30">
        <v>0.56</v>
      </c>
      <c r="H66" s="13"/>
      <c r="I66" s="13"/>
    </row>
    <row r="67" ht="52.5" customHeight="1">
      <c r="A67" s="18"/>
      <c r="B67" s="19" t="s">
        <v>238</v>
      </c>
      <c r="C67" s="20" t="s">
        <v>239</v>
      </c>
      <c r="D67" s="26">
        <v>1.0</v>
      </c>
      <c r="E67" s="26">
        <v>23.0</v>
      </c>
      <c r="F67" s="31"/>
      <c r="G67" s="32">
        <v>1.99</v>
      </c>
      <c r="H67" s="31"/>
      <c r="I67" s="13"/>
    </row>
    <row r="68" ht="52.5" customHeight="1">
      <c r="A68" s="18"/>
      <c r="B68" s="33" t="s">
        <v>241</v>
      </c>
      <c r="C68" s="20" t="s">
        <v>243</v>
      </c>
      <c r="D68" s="26">
        <v>1.0</v>
      </c>
      <c r="E68" s="26">
        <v>120.0</v>
      </c>
      <c r="F68" s="31"/>
      <c r="G68" s="32">
        <v>0.25</v>
      </c>
      <c r="H68" s="31"/>
      <c r="I68" s="13"/>
    </row>
    <row r="69" ht="52.5" customHeight="1">
      <c r="A69" s="9"/>
      <c r="B69" s="19" t="s">
        <v>244</v>
      </c>
      <c r="C69" s="20" t="s">
        <v>245</v>
      </c>
      <c r="D69" s="10">
        <v>1.0</v>
      </c>
      <c r="E69" s="10">
        <v>600.0</v>
      </c>
      <c r="F69" s="13"/>
      <c r="G69" s="15" t="s">
        <v>247</v>
      </c>
      <c r="H69" s="13"/>
      <c r="I69" s="13"/>
    </row>
    <row r="70" ht="52.5" customHeight="1">
      <c r="A70" s="9"/>
      <c r="B70" s="19" t="s">
        <v>248</v>
      </c>
      <c r="C70" s="20" t="s">
        <v>249</v>
      </c>
      <c r="D70" s="10">
        <v>1.0</v>
      </c>
      <c r="E70" s="10">
        <v>926.0</v>
      </c>
      <c r="F70" s="13"/>
      <c r="G70" s="15" t="s">
        <v>250</v>
      </c>
      <c r="H70" s="13"/>
      <c r="I70" s="13"/>
    </row>
    <row r="71" ht="52.5" customHeight="1">
      <c r="A71" s="18"/>
      <c r="B71" s="19" t="s">
        <v>251</v>
      </c>
      <c r="C71" s="20" t="s">
        <v>252</v>
      </c>
      <c r="D71" s="10">
        <v>1.0</v>
      </c>
      <c r="E71" s="10">
        <v>0.0</v>
      </c>
      <c r="F71" s="13"/>
      <c r="G71" s="30">
        <v>0.1082</v>
      </c>
      <c r="H71" s="13"/>
      <c r="I71" s="13"/>
    </row>
    <row r="72" ht="52.5" customHeight="1">
      <c r="A72" s="18"/>
      <c r="B72" s="19" t="s">
        <v>254</v>
      </c>
      <c r="C72" s="20" t="s">
        <v>255</v>
      </c>
      <c r="D72" s="10">
        <v>1.0</v>
      </c>
      <c r="E72" s="10">
        <v>300.0</v>
      </c>
      <c r="F72" s="13"/>
      <c r="G72" s="14">
        <v>0.075</v>
      </c>
      <c r="H72" s="13"/>
      <c r="I72" s="13"/>
    </row>
    <row r="73" ht="52.5" customHeight="1">
      <c r="A73" s="18"/>
      <c r="B73" s="19" t="s">
        <v>257</v>
      </c>
      <c r="C73" s="20" t="s">
        <v>258</v>
      </c>
      <c r="D73" s="10">
        <v>1.0</v>
      </c>
      <c r="E73" s="10">
        <v>100.0</v>
      </c>
      <c r="F73" s="13"/>
      <c r="G73" s="14">
        <v>0.08</v>
      </c>
      <c r="H73" s="13"/>
      <c r="I73" s="13"/>
    </row>
    <row r="74" ht="52.5" customHeight="1">
      <c r="A74" s="9"/>
      <c r="B74" s="19" t="s">
        <v>260</v>
      </c>
      <c r="C74" s="20" t="s">
        <v>261</v>
      </c>
      <c r="D74" s="10">
        <v>1.0</v>
      </c>
      <c r="E74" s="10">
        <v>200.0</v>
      </c>
      <c r="F74" s="13"/>
      <c r="G74" s="10" t="s">
        <v>263</v>
      </c>
      <c r="H74" s="13"/>
      <c r="I74" s="13"/>
    </row>
    <row r="75" ht="52.5" customHeight="1">
      <c r="A75" s="9"/>
      <c r="B75" s="19" t="s">
        <v>264</v>
      </c>
      <c r="C75" s="20" t="s">
        <v>265</v>
      </c>
      <c r="D75" s="10">
        <v>1.0</v>
      </c>
      <c r="E75" s="10">
        <v>246.0</v>
      </c>
      <c r="F75" s="13"/>
      <c r="G75" s="14">
        <v>0.1572</v>
      </c>
      <c r="H75" s="13"/>
      <c r="I75" s="13"/>
    </row>
    <row r="76" ht="52.5" customHeight="1">
      <c r="A76" s="9"/>
      <c r="B76" s="19" t="s">
        <v>266</v>
      </c>
      <c r="C76" s="20" t="s">
        <v>267</v>
      </c>
      <c r="D76" s="10">
        <v>1.0</v>
      </c>
      <c r="E76" s="10">
        <v>100.0</v>
      </c>
      <c r="F76" s="13"/>
      <c r="G76" s="14">
        <v>0.49</v>
      </c>
      <c r="H76" s="13"/>
      <c r="I76" s="13"/>
    </row>
    <row r="77" ht="52.5" customHeight="1">
      <c r="A77" s="9"/>
      <c r="B77" s="19" t="s">
        <v>268</v>
      </c>
      <c r="C77" s="20" t="s">
        <v>269</v>
      </c>
      <c r="D77" s="10">
        <v>1.0</v>
      </c>
      <c r="E77" s="10">
        <v>50.0</v>
      </c>
      <c r="F77" s="13"/>
      <c r="G77" s="14">
        <v>1.288</v>
      </c>
      <c r="H77" s="13"/>
      <c r="I77" s="13"/>
    </row>
    <row r="78" ht="52.5" customHeight="1">
      <c r="A78" s="9"/>
      <c r="B78" s="19" t="s">
        <v>270</v>
      </c>
      <c r="C78" s="20" t="s">
        <v>271</v>
      </c>
      <c r="D78" s="10">
        <v>1.0</v>
      </c>
      <c r="E78" s="10">
        <v>25.0</v>
      </c>
      <c r="F78" s="13"/>
      <c r="G78" s="15" t="s">
        <v>272</v>
      </c>
      <c r="H78" s="13"/>
      <c r="I78" s="13"/>
    </row>
    <row r="79" ht="52.5" customHeight="1">
      <c r="A79" s="9"/>
      <c r="B79" s="19" t="s">
        <v>273</v>
      </c>
      <c r="C79" s="20" t="s">
        <v>274</v>
      </c>
      <c r="D79" s="10">
        <v>1.0</v>
      </c>
      <c r="E79" s="10">
        <v>12.0</v>
      </c>
      <c r="F79" s="13"/>
      <c r="G79" s="15" t="s">
        <v>275</v>
      </c>
      <c r="H79" s="13"/>
      <c r="I79" s="13"/>
    </row>
    <row r="80" ht="52.5" customHeight="1">
      <c r="A80" s="18"/>
      <c r="B80" s="19" t="s">
        <v>276</v>
      </c>
      <c r="C80" s="20" t="s">
        <v>277</v>
      </c>
      <c r="D80" s="10">
        <v>1.0</v>
      </c>
      <c r="E80" s="10">
        <v>19.0</v>
      </c>
      <c r="F80" s="13"/>
      <c r="G80" s="15" t="s">
        <v>278</v>
      </c>
      <c r="H80" s="13"/>
      <c r="I80" s="13"/>
    </row>
    <row r="81" ht="52.5" customHeight="1">
      <c r="A81" s="9"/>
      <c r="B81" s="19" t="s">
        <v>279</v>
      </c>
      <c r="C81" s="20" t="s">
        <v>280</v>
      </c>
      <c r="D81" s="10">
        <v>1.0</v>
      </c>
      <c r="E81" s="10">
        <v>20.0</v>
      </c>
      <c r="F81" s="13"/>
      <c r="G81" s="15" t="s">
        <v>281</v>
      </c>
      <c r="H81" s="13"/>
      <c r="I81" s="13"/>
    </row>
    <row r="82" ht="52.5" customHeight="1">
      <c r="A82" s="9"/>
      <c r="B82" s="19" t="s">
        <v>282</v>
      </c>
      <c r="C82" s="20" t="s">
        <v>283</v>
      </c>
      <c r="D82" s="10">
        <v>1.0</v>
      </c>
      <c r="E82" s="10">
        <v>11.0</v>
      </c>
      <c r="F82" s="13"/>
      <c r="G82" s="14">
        <v>6.92</v>
      </c>
      <c r="H82" s="13"/>
      <c r="I82" s="13"/>
    </row>
    <row r="83" ht="52.5" customHeight="1">
      <c r="A83" s="9"/>
      <c r="B83" s="19" t="s">
        <v>284</v>
      </c>
      <c r="C83" s="20" t="s">
        <v>285</v>
      </c>
      <c r="D83" s="10">
        <v>1.0</v>
      </c>
      <c r="E83" s="10">
        <v>10.0</v>
      </c>
      <c r="F83" s="13"/>
      <c r="G83" s="14">
        <v>6.05</v>
      </c>
      <c r="H83" s="13"/>
      <c r="I83" s="13"/>
    </row>
    <row r="84" ht="52.5" customHeight="1">
      <c r="A84" s="9"/>
      <c r="B84" s="19" t="s">
        <v>286</v>
      </c>
      <c r="C84" s="20" t="s">
        <v>287</v>
      </c>
      <c r="D84" s="10">
        <v>1.0</v>
      </c>
      <c r="E84" s="10">
        <v>9.0</v>
      </c>
      <c r="F84" s="13"/>
      <c r="G84" s="14">
        <v>6.92</v>
      </c>
      <c r="H84" s="13"/>
      <c r="I84" s="13"/>
    </row>
    <row r="85" ht="52.5" customHeight="1">
      <c r="A85" s="9"/>
      <c r="B85" s="19" t="s">
        <v>288</v>
      </c>
      <c r="C85" s="20" t="s">
        <v>289</v>
      </c>
      <c r="D85" s="10">
        <v>1.0</v>
      </c>
      <c r="E85" s="10">
        <v>32.0</v>
      </c>
      <c r="F85" s="13"/>
      <c r="G85" s="14">
        <v>4.726</v>
      </c>
      <c r="H85" s="13"/>
      <c r="I85" s="13"/>
    </row>
    <row r="86" ht="52.5" customHeight="1">
      <c r="A86" s="18"/>
      <c r="B86" s="19" t="s">
        <v>290</v>
      </c>
      <c r="C86" s="20" t="s">
        <v>291</v>
      </c>
      <c r="D86" s="10">
        <v>1.0</v>
      </c>
      <c r="E86" s="10">
        <v>2.0</v>
      </c>
      <c r="F86" s="13"/>
      <c r="G86" s="34">
        <v>584.0</v>
      </c>
      <c r="H86" s="13"/>
      <c r="I86" s="13"/>
    </row>
    <row r="87" ht="52.5" customHeight="1">
      <c r="A87" s="18"/>
      <c r="B87" s="19" t="s">
        <v>292</v>
      </c>
      <c r="C87" s="20" t="s">
        <v>293</v>
      </c>
      <c r="D87" s="10">
        <v>1.0</v>
      </c>
      <c r="E87" s="10">
        <v>3.0</v>
      </c>
      <c r="F87" s="13"/>
      <c r="G87" s="34">
        <v>448.0</v>
      </c>
      <c r="H87" s="13"/>
      <c r="I87" s="13"/>
    </row>
    <row r="88" ht="52.5" customHeight="1">
      <c r="A88" s="18"/>
      <c r="B88" s="19" t="s">
        <v>294</v>
      </c>
      <c r="C88" s="20" t="s">
        <v>295</v>
      </c>
      <c r="D88" s="10">
        <v>1.0</v>
      </c>
      <c r="E88" s="10">
        <v>6.0</v>
      </c>
      <c r="F88" s="13"/>
      <c r="G88" s="30">
        <v>2.7</v>
      </c>
      <c r="H88" s="13"/>
      <c r="I88" s="13"/>
    </row>
    <row r="89" ht="52.5" customHeight="1">
      <c r="A89" s="18"/>
      <c r="B89" s="19" t="s">
        <v>296</v>
      </c>
      <c r="C89" s="20" t="s">
        <v>297</v>
      </c>
      <c r="D89" s="10">
        <v>1.0</v>
      </c>
      <c r="E89" s="10">
        <v>4.0</v>
      </c>
      <c r="F89" s="13"/>
      <c r="G89" s="14">
        <v>0.4</v>
      </c>
      <c r="H89" s="13"/>
      <c r="I89" s="13"/>
    </row>
    <row r="90" ht="52.5" customHeight="1">
      <c r="A90" s="9"/>
      <c r="B90" s="19" t="s">
        <v>298</v>
      </c>
      <c r="C90" s="20" t="s">
        <v>299</v>
      </c>
      <c r="D90" s="10">
        <v>1.0</v>
      </c>
      <c r="E90" s="10">
        <v>26.0</v>
      </c>
      <c r="F90" s="13"/>
      <c r="G90" s="14">
        <v>5.21</v>
      </c>
      <c r="H90" s="13"/>
      <c r="I90" s="13"/>
    </row>
    <row r="91" ht="52.5" customHeight="1">
      <c r="A91" s="9"/>
      <c r="B91" s="19" t="s">
        <v>300</v>
      </c>
      <c r="C91" s="20" t="s">
        <v>301</v>
      </c>
      <c r="D91" s="10">
        <v>1.0</v>
      </c>
      <c r="E91" s="10">
        <v>89.0</v>
      </c>
      <c r="F91" s="13"/>
      <c r="G91" s="14">
        <v>0.21</v>
      </c>
      <c r="H91" s="13"/>
      <c r="I91" s="13"/>
    </row>
    <row r="92" ht="52.5" customHeight="1">
      <c r="A92" s="35"/>
      <c r="B92" s="36" t="s">
        <v>302</v>
      </c>
      <c r="C92" s="20" t="s">
        <v>303</v>
      </c>
      <c r="D92" s="10">
        <v>1.0</v>
      </c>
      <c r="E92" s="10">
        <v>111.0</v>
      </c>
      <c r="F92" s="13"/>
      <c r="G92" s="14">
        <v>1.59</v>
      </c>
      <c r="H92" s="13"/>
      <c r="I92" s="13"/>
    </row>
    <row r="93" ht="52.5" customHeight="1">
      <c r="A93" s="35"/>
      <c r="B93" s="36" t="s">
        <v>304</v>
      </c>
      <c r="C93" s="20" t="s">
        <v>305</v>
      </c>
      <c r="D93" s="10">
        <v>1.0</v>
      </c>
      <c r="E93" s="10">
        <v>14.0</v>
      </c>
      <c r="F93" s="13"/>
      <c r="G93" s="14">
        <v>0.21</v>
      </c>
      <c r="H93" s="13"/>
      <c r="I93" s="13"/>
    </row>
    <row r="94" ht="52.5" customHeight="1">
      <c r="A94" s="9"/>
      <c r="B94" s="19" t="s">
        <v>127</v>
      </c>
      <c r="C94" s="20" t="s">
        <v>306</v>
      </c>
      <c r="D94" s="10">
        <v>10.0</v>
      </c>
      <c r="E94" s="10">
        <v>33.0</v>
      </c>
      <c r="F94" s="13"/>
      <c r="G94" s="14">
        <v>0.6807</v>
      </c>
      <c r="H94" s="13"/>
      <c r="I94" s="13"/>
    </row>
    <row r="95" ht="52.5" customHeight="1">
      <c r="A95" s="9"/>
      <c r="B95" s="19" t="s">
        <v>307</v>
      </c>
      <c r="C95" s="20" t="s">
        <v>308</v>
      </c>
      <c r="D95" s="10">
        <v>1.0</v>
      </c>
      <c r="E95" s="10">
        <v>8.0</v>
      </c>
      <c r="F95" s="13"/>
      <c r="G95" s="14">
        <v>0.0036</v>
      </c>
      <c r="H95" s="13"/>
      <c r="I95" s="13"/>
    </row>
    <row r="96" ht="52.5" customHeight="1">
      <c r="A96" s="18"/>
      <c r="B96" s="19" t="s">
        <v>309</v>
      </c>
      <c r="C96" s="20" t="s">
        <v>310</v>
      </c>
      <c r="D96" s="10">
        <v>1.0</v>
      </c>
      <c r="E96" s="10">
        <v>10.0</v>
      </c>
      <c r="F96" s="13"/>
      <c r="G96" s="14">
        <v>15.5</v>
      </c>
      <c r="H96" s="13"/>
      <c r="I96" s="13"/>
    </row>
    <row r="97" ht="52.5" customHeight="1">
      <c r="A97" s="18"/>
      <c r="B97" s="19" t="s">
        <v>311</v>
      </c>
      <c r="C97" s="20" t="s">
        <v>312</v>
      </c>
      <c r="D97" s="10">
        <v>1.0</v>
      </c>
      <c r="E97" s="10">
        <v>6.0</v>
      </c>
      <c r="F97" s="13"/>
      <c r="G97" s="14">
        <v>58.25</v>
      </c>
      <c r="H97" s="13"/>
      <c r="I97" s="13"/>
    </row>
    <row r="98" ht="52.5" customHeight="1">
      <c r="A98" s="18"/>
      <c r="B98" s="19" t="s">
        <v>313</v>
      </c>
      <c r="C98" s="20" t="s">
        <v>314</v>
      </c>
      <c r="D98" s="10">
        <v>1.0</v>
      </c>
      <c r="E98" s="10">
        <v>8.0</v>
      </c>
      <c r="F98" s="13"/>
      <c r="G98" s="10" t="s">
        <v>315</v>
      </c>
      <c r="H98" s="13"/>
      <c r="I98" s="13"/>
    </row>
    <row r="99" ht="52.5" customHeight="1">
      <c r="A99" s="18"/>
      <c r="B99" s="19" t="s">
        <v>316</v>
      </c>
      <c r="C99" s="20" t="s">
        <v>317</v>
      </c>
      <c r="D99" s="10">
        <v>1.0</v>
      </c>
      <c r="E99" s="10">
        <v>0.0</v>
      </c>
      <c r="F99" s="13"/>
      <c r="G99" s="14">
        <v>5.697</v>
      </c>
      <c r="H99" s="13"/>
      <c r="I99" s="13"/>
    </row>
    <row r="100" ht="52.5" customHeight="1">
      <c r="A100" s="18"/>
      <c r="B100" s="19" t="s">
        <v>318</v>
      </c>
      <c r="C100" s="20" t="s">
        <v>319</v>
      </c>
      <c r="D100" s="10">
        <v>1.0</v>
      </c>
      <c r="E100" s="10">
        <v>0.0</v>
      </c>
      <c r="F100" s="13"/>
      <c r="G100" s="14">
        <v>0.5338</v>
      </c>
      <c r="H100" s="13"/>
      <c r="I100" s="13"/>
    </row>
    <row r="101" ht="52.5" customHeight="1">
      <c r="A101" s="9"/>
      <c r="B101" s="19" t="s">
        <v>320</v>
      </c>
      <c r="C101" s="20" t="s">
        <v>321</v>
      </c>
      <c r="D101" s="10">
        <v>1.0</v>
      </c>
      <c r="E101" s="10">
        <v>0.0</v>
      </c>
      <c r="F101" s="13"/>
      <c r="G101" s="14">
        <v>0.5338</v>
      </c>
      <c r="H101" s="13"/>
      <c r="I101" s="13"/>
    </row>
    <row r="102" ht="52.5" customHeight="1">
      <c r="A102" s="9"/>
      <c r="B102" s="19" t="s">
        <v>322</v>
      </c>
      <c r="C102" s="20" t="s">
        <v>323</v>
      </c>
      <c r="D102" s="10">
        <v>1.0</v>
      </c>
      <c r="E102" s="10">
        <v>0.0</v>
      </c>
      <c r="F102" s="13"/>
      <c r="G102" s="14">
        <v>0.5338</v>
      </c>
      <c r="H102" s="13"/>
      <c r="I102" s="13"/>
    </row>
    <row r="103" ht="52.5" customHeight="1">
      <c r="A103" s="18"/>
      <c r="B103" s="19" t="s">
        <v>324</v>
      </c>
      <c r="C103" s="20" t="s">
        <v>325</v>
      </c>
      <c r="D103" s="10">
        <v>1.0</v>
      </c>
      <c r="E103" s="10">
        <v>0.0</v>
      </c>
      <c r="F103" s="13"/>
      <c r="G103" s="14">
        <v>0.5338</v>
      </c>
      <c r="H103" s="13"/>
      <c r="I103" s="13"/>
    </row>
    <row r="104" ht="52.5" customHeight="1">
      <c r="A104" s="18"/>
      <c r="B104" s="19" t="s">
        <v>326</v>
      </c>
      <c r="C104" s="20" t="s">
        <v>327</v>
      </c>
      <c r="D104" s="10">
        <v>1.0</v>
      </c>
      <c r="E104" s="10">
        <v>0.0</v>
      </c>
      <c r="F104" s="13"/>
      <c r="G104" s="14">
        <v>0.4958</v>
      </c>
      <c r="H104" s="13"/>
      <c r="I104" s="13"/>
    </row>
    <row r="105" ht="52.5" customHeight="1">
      <c r="A105" s="18"/>
      <c r="B105" s="19" t="s">
        <v>328</v>
      </c>
      <c r="C105" s="20" t="s">
        <v>329</v>
      </c>
      <c r="D105" s="10">
        <v>1.0</v>
      </c>
      <c r="E105" s="10">
        <v>0.0</v>
      </c>
      <c r="F105" s="13"/>
      <c r="G105" s="15" t="s">
        <v>330</v>
      </c>
      <c r="H105" s="13"/>
      <c r="I105" s="13"/>
    </row>
    <row r="106" ht="52.5" customHeight="1">
      <c r="A106" s="18"/>
      <c r="B106" s="19" t="s">
        <v>331</v>
      </c>
      <c r="C106" s="20" t="s">
        <v>332</v>
      </c>
      <c r="D106" s="10">
        <v>1.0</v>
      </c>
      <c r="E106" s="10">
        <v>0.0</v>
      </c>
      <c r="F106" s="13"/>
      <c r="G106" s="15" t="s">
        <v>330</v>
      </c>
      <c r="H106" s="13"/>
      <c r="I106" s="13"/>
    </row>
    <row r="107" ht="52.5" customHeight="1">
      <c r="A107" s="18"/>
      <c r="B107" s="19" t="s">
        <v>333</v>
      </c>
      <c r="C107" s="20" t="s">
        <v>334</v>
      </c>
      <c r="D107" s="10">
        <v>1.0</v>
      </c>
      <c r="E107" s="10">
        <v>0.0</v>
      </c>
      <c r="F107" s="13"/>
      <c r="G107" s="15" t="s">
        <v>330</v>
      </c>
      <c r="H107" s="13"/>
      <c r="I107" s="13"/>
    </row>
    <row r="108" ht="52.5" customHeight="1">
      <c r="A108" s="18"/>
      <c r="B108" s="19" t="s">
        <v>335</v>
      </c>
      <c r="C108" s="20" t="s">
        <v>336</v>
      </c>
      <c r="D108" s="10">
        <v>1.0</v>
      </c>
      <c r="E108" s="10">
        <v>0.0</v>
      </c>
      <c r="F108" s="13"/>
      <c r="G108" s="15" t="s">
        <v>330</v>
      </c>
      <c r="H108" s="13"/>
      <c r="I108" s="13"/>
    </row>
    <row r="109" ht="52.5" customHeight="1">
      <c r="A109" s="18"/>
      <c r="B109" s="19" t="s">
        <v>337</v>
      </c>
      <c r="C109" s="20" t="s">
        <v>338</v>
      </c>
      <c r="D109" s="10">
        <v>1.0</v>
      </c>
      <c r="E109" s="10">
        <v>0.0</v>
      </c>
      <c r="F109" s="13"/>
      <c r="G109" s="15" t="s">
        <v>339</v>
      </c>
      <c r="H109" s="13"/>
      <c r="I109" s="13"/>
    </row>
    <row r="110" ht="52.5" customHeight="1">
      <c r="A110" s="18"/>
      <c r="B110" s="19" t="s">
        <v>340</v>
      </c>
      <c r="C110" s="20" t="s">
        <v>341</v>
      </c>
      <c r="D110" s="10">
        <v>1.0</v>
      </c>
      <c r="E110" s="10">
        <v>0.0</v>
      </c>
      <c r="F110" s="13"/>
      <c r="G110" s="14">
        <v>2.61</v>
      </c>
      <c r="H110" s="13"/>
      <c r="I110" s="13"/>
    </row>
    <row r="111" ht="52.5" customHeight="1">
      <c r="A111" s="18"/>
      <c r="B111" s="19" t="s">
        <v>342</v>
      </c>
      <c r="C111" s="20" t="s">
        <v>343</v>
      </c>
      <c r="D111" s="10">
        <v>1.0</v>
      </c>
      <c r="E111" s="10">
        <v>0.0</v>
      </c>
      <c r="F111" s="13"/>
      <c r="G111" s="14">
        <v>2.72</v>
      </c>
      <c r="H111" s="13"/>
      <c r="I111" s="13"/>
    </row>
    <row r="112" ht="52.5" customHeight="1">
      <c r="A112" s="18"/>
      <c r="B112" s="19" t="s">
        <v>344</v>
      </c>
      <c r="C112" s="20" t="s">
        <v>345</v>
      </c>
      <c r="D112" s="10">
        <v>1.0</v>
      </c>
      <c r="E112" s="10">
        <v>72.0</v>
      </c>
      <c r="F112" s="13"/>
      <c r="G112" s="14">
        <v>2.43</v>
      </c>
      <c r="H112" s="13"/>
      <c r="I112" s="13"/>
    </row>
    <row r="113" ht="52.5" customHeight="1">
      <c r="A113" s="18"/>
      <c r="B113" s="19" t="s">
        <v>346</v>
      </c>
      <c r="C113" s="20" t="s">
        <v>347</v>
      </c>
      <c r="D113" s="10">
        <v>1.0</v>
      </c>
      <c r="E113" s="10">
        <v>36.0</v>
      </c>
      <c r="F113" s="13"/>
      <c r="G113" s="14">
        <v>7.6</v>
      </c>
      <c r="H113" s="13"/>
      <c r="I113" s="13"/>
    </row>
    <row r="114" ht="52.5" customHeight="1">
      <c r="A114" s="18"/>
      <c r="B114" s="19" t="s">
        <v>348</v>
      </c>
      <c r="C114" s="20" t="s">
        <v>349</v>
      </c>
      <c r="D114" s="10">
        <v>1.0</v>
      </c>
      <c r="E114" s="10">
        <v>36.0</v>
      </c>
      <c r="F114" s="13"/>
      <c r="G114" s="14">
        <v>3.48</v>
      </c>
      <c r="H114" s="13"/>
      <c r="I114" s="13"/>
    </row>
    <row r="115" ht="52.5" customHeight="1">
      <c r="A115" s="18"/>
      <c r="B115" s="19" t="s">
        <v>350</v>
      </c>
      <c r="C115" s="20" t="s">
        <v>351</v>
      </c>
      <c r="D115" s="10">
        <v>1.0</v>
      </c>
      <c r="E115" s="10">
        <v>0.0</v>
      </c>
      <c r="F115" s="13"/>
      <c r="G115" s="14">
        <v>2.59</v>
      </c>
      <c r="H115" s="13"/>
      <c r="I115" s="13"/>
    </row>
    <row r="116" ht="52.5" customHeight="1">
      <c r="A116" s="18"/>
      <c r="B116" s="19" t="s">
        <v>352</v>
      </c>
      <c r="C116" s="20" t="s">
        <v>353</v>
      </c>
      <c r="D116" s="10">
        <v>1.0</v>
      </c>
      <c r="E116" s="10">
        <v>36.0</v>
      </c>
      <c r="F116" s="13"/>
      <c r="G116" s="14">
        <v>2.45</v>
      </c>
      <c r="H116" s="13"/>
      <c r="I116" s="13"/>
    </row>
    <row r="117" ht="52.5" customHeight="1">
      <c r="A117" s="18"/>
      <c r="B117" s="19" t="s">
        <v>354</v>
      </c>
      <c r="C117" s="20" t="s">
        <v>355</v>
      </c>
      <c r="D117" s="10">
        <v>1.0</v>
      </c>
      <c r="E117" s="10">
        <v>0.0</v>
      </c>
      <c r="F117" s="13"/>
      <c r="G117" s="14">
        <v>3.48</v>
      </c>
      <c r="H117" s="13"/>
      <c r="I117" s="13"/>
    </row>
    <row r="118" ht="52.5" customHeight="1">
      <c r="A118" s="18"/>
      <c r="B118" s="19" t="s">
        <v>356</v>
      </c>
      <c r="C118" s="20" t="s">
        <v>357</v>
      </c>
      <c r="D118" s="10">
        <v>1.0</v>
      </c>
      <c r="E118" s="10">
        <v>72.0</v>
      </c>
      <c r="F118" s="13"/>
      <c r="G118" s="14">
        <v>2.43</v>
      </c>
      <c r="H118" s="13"/>
      <c r="I118" s="13"/>
    </row>
    <row r="119" ht="52.5" customHeight="1">
      <c r="A119" s="18"/>
      <c r="B119" s="19" t="s">
        <v>358</v>
      </c>
      <c r="C119" s="20" t="s">
        <v>359</v>
      </c>
      <c r="D119" s="10">
        <v>1.0</v>
      </c>
      <c r="E119" s="10">
        <v>0.0</v>
      </c>
      <c r="F119" s="13"/>
      <c r="G119" s="14">
        <v>6.43</v>
      </c>
      <c r="H119" s="13"/>
      <c r="I119" s="13"/>
    </row>
    <row r="120" ht="52.5" customHeight="1">
      <c r="A120" s="18"/>
      <c r="B120" s="19" t="s">
        <v>360</v>
      </c>
      <c r="C120" s="20" t="s">
        <v>361</v>
      </c>
      <c r="D120" s="10">
        <v>1.0</v>
      </c>
      <c r="E120" s="10">
        <v>12.0</v>
      </c>
      <c r="F120" s="13"/>
      <c r="G120" s="14">
        <v>6.49</v>
      </c>
      <c r="H120" s="13"/>
      <c r="I120" s="13"/>
    </row>
    <row r="121" ht="52.5" customHeight="1">
      <c r="A121" s="18"/>
      <c r="B121" s="19" t="s">
        <v>362</v>
      </c>
      <c r="C121" s="20" t="s">
        <v>363</v>
      </c>
      <c r="D121" s="10">
        <v>1.0</v>
      </c>
      <c r="E121" s="10">
        <v>12.0</v>
      </c>
      <c r="F121" s="13"/>
      <c r="G121" s="14">
        <v>22.0</v>
      </c>
      <c r="H121" s="13"/>
      <c r="I121" s="13"/>
    </row>
    <row r="122" ht="52.5" customHeight="1">
      <c r="A122" s="18"/>
      <c r="B122" s="19" t="s">
        <v>364</v>
      </c>
      <c r="C122" s="20" t="s">
        <v>365</v>
      </c>
      <c r="D122" s="10">
        <v>1.0</v>
      </c>
      <c r="E122" s="10">
        <v>12.0</v>
      </c>
      <c r="F122" s="13"/>
      <c r="G122" s="14">
        <v>41.04</v>
      </c>
      <c r="H122" s="13"/>
      <c r="I122" s="13"/>
    </row>
    <row r="123" ht="52.5" customHeight="1">
      <c r="A123" s="18"/>
      <c r="B123" s="19" t="s">
        <v>366</v>
      </c>
      <c r="C123" s="20" t="s">
        <v>367</v>
      </c>
      <c r="D123" s="10">
        <v>1.0</v>
      </c>
      <c r="E123" s="10">
        <v>36.0</v>
      </c>
      <c r="F123" s="13"/>
      <c r="G123" s="14">
        <v>5.9</v>
      </c>
      <c r="H123" s="13"/>
      <c r="I123" s="13"/>
    </row>
    <row r="124" ht="52.5" customHeight="1">
      <c r="A124" s="18"/>
      <c r="B124" s="19" t="s">
        <v>368</v>
      </c>
      <c r="C124" s="20" t="s">
        <v>369</v>
      </c>
      <c r="D124" s="10">
        <v>1.0</v>
      </c>
      <c r="E124" s="10">
        <v>36.0</v>
      </c>
      <c r="F124" s="13"/>
      <c r="G124" s="14">
        <v>6.32</v>
      </c>
      <c r="H124" s="13"/>
      <c r="I124" s="13"/>
    </row>
    <row r="125" ht="52.5" customHeight="1">
      <c r="A125" s="18"/>
      <c r="B125" s="19" t="s">
        <v>370</v>
      </c>
      <c r="C125" s="20" t="s">
        <v>371</v>
      </c>
      <c r="D125" s="10">
        <v>1.0</v>
      </c>
      <c r="E125" s="10">
        <v>36.0</v>
      </c>
      <c r="F125" s="13"/>
      <c r="G125" s="14">
        <v>7.18</v>
      </c>
      <c r="H125" s="13"/>
      <c r="I125" s="13"/>
    </row>
    <row r="126" ht="52.5" customHeight="1">
      <c r="A126" s="18"/>
      <c r="B126" s="19" t="s">
        <v>372</v>
      </c>
      <c r="C126" s="20" t="s">
        <v>373</v>
      </c>
      <c r="D126" s="10">
        <v>1.0</v>
      </c>
      <c r="E126" s="10">
        <v>36.0</v>
      </c>
      <c r="F126" s="13"/>
      <c r="G126" s="14">
        <v>10.97</v>
      </c>
      <c r="H126" s="13"/>
      <c r="I126" s="13"/>
    </row>
    <row r="127" ht="52.5" customHeight="1">
      <c r="A127" s="18"/>
      <c r="B127" s="19" t="s">
        <v>374</v>
      </c>
      <c r="C127" s="20" t="s">
        <v>375</v>
      </c>
      <c r="D127" s="10">
        <v>1.0</v>
      </c>
      <c r="E127" s="10">
        <v>10.0</v>
      </c>
      <c r="F127" s="13"/>
      <c r="G127" s="14">
        <v>10.26</v>
      </c>
      <c r="H127" s="13"/>
      <c r="I127" s="13"/>
    </row>
    <row r="128" ht="52.5" customHeight="1">
      <c r="A128" s="18"/>
      <c r="B128" s="19" t="s">
        <v>376</v>
      </c>
      <c r="C128" s="20" t="s">
        <v>377</v>
      </c>
      <c r="D128" s="10">
        <v>1.0</v>
      </c>
      <c r="E128" s="10">
        <v>12.0</v>
      </c>
      <c r="F128" s="13"/>
      <c r="G128" s="14">
        <v>37.24</v>
      </c>
      <c r="H128" s="13"/>
      <c r="I128" s="13"/>
    </row>
    <row r="129" ht="52.5" customHeight="1">
      <c r="A129" s="18"/>
      <c r="B129" s="19" t="s">
        <v>378</v>
      </c>
      <c r="C129" s="20" t="s">
        <v>379</v>
      </c>
      <c r="D129" s="10">
        <v>1.0</v>
      </c>
      <c r="E129" s="10">
        <v>0.0</v>
      </c>
      <c r="F129" s="13"/>
      <c r="G129" s="14">
        <v>11.96</v>
      </c>
      <c r="H129" s="13"/>
      <c r="I129" s="13"/>
    </row>
    <row r="130" ht="52.5" customHeight="1">
      <c r="A130" s="18"/>
      <c r="B130" s="19" t="s">
        <v>380</v>
      </c>
      <c r="C130" s="20" t="s">
        <v>381</v>
      </c>
      <c r="D130" s="10">
        <v>1.0</v>
      </c>
      <c r="E130" s="10">
        <v>10.0</v>
      </c>
      <c r="F130" s="13"/>
      <c r="G130" s="14">
        <v>11.06</v>
      </c>
      <c r="H130" s="13"/>
      <c r="I130" s="13"/>
    </row>
    <row r="131" ht="52.5" customHeight="1">
      <c r="A131" s="18"/>
      <c r="B131" s="19" t="s">
        <v>382</v>
      </c>
      <c r="C131" s="20" t="s">
        <v>383</v>
      </c>
      <c r="D131" s="10">
        <v>1.0</v>
      </c>
      <c r="E131" s="10">
        <v>0.0</v>
      </c>
      <c r="F131" s="13"/>
      <c r="G131" s="14">
        <v>19.98</v>
      </c>
      <c r="H131" s="13"/>
      <c r="I131" s="13"/>
    </row>
    <row r="132" ht="52.5" customHeight="1">
      <c r="A132" s="18"/>
      <c r="B132" s="19" t="s">
        <v>384</v>
      </c>
      <c r="C132" s="20" t="s">
        <v>385</v>
      </c>
      <c r="D132" s="10">
        <v>1.0</v>
      </c>
      <c r="E132" s="20">
        <v>36.0</v>
      </c>
      <c r="F132" s="13"/>
      <c r="G132" s="14">
        <v>4.23</v>
      </c>
      <c r="H132" s="13"/>
      <c r="I132" s="13"/>
    </row>
    <row r="133" ht="52.5" customHeight="1">
      <c r="A133" s="18"/>
      <c r="B133" s="19" t="s">
        <v>386</v>
      </c>
      <c r="C133" s="20" t="s">
        <v>387</v>
      </c>
      <c r="D133" s="10">
        <v>1.0</v>
      </c>
      <c r="E133" s="20">
        <v>108.0</v>
      </c>
      <c r="F133" s="13"/>
      <c r="G133" s="14">
        <v>3.99</v>
      </c>
      <c r="H133" s="13"/>
      <c r="I133" s="13"/>
    </row>
    <row r="134" ht="52.5" customHeight="1">
      <c r="A134" s="18"/>
      <c r="B134" s="19" t="s">
        <v>388</v>
      </c>
      <c r="C134" s="20" t="s">
        <v>389</v>
      </c>
      <c r="D134" s="10">
        <v>1.0</v>
      </c>
      <c r="E134" s="10">
        <v>180.0</v>
      </c>
      <c r="F134" s="13"/>
      <c r="G134" s="14">
        <v>4.71</v>
      </c>
      <c r="H134" s="13"/>
      <c r="I134" s="13"/>
    </row>
    <row r="135" ht="52.5" customHeight="1">
      <c r="A135" s="18"/>
      <c r="B135" s="19" t="s">
        <v>390</v>
      </c>
      <c r="C135" s="20" t="s">
        <v>391</v>
      </c>
      <c r="D135" s="10">
        <v>1.0</v>
      </c>
      <c r="E135" s="10">
        <v>0.0</v>
      </c>
      <c r="F135" s="13"/>
      <c r="G135" s="14">
        <v>20.44</v>
      </c>
      <c r="H135" s="13"/>
      <c r="I135" s="13"/>
    </row>
    <row r="136" ht="52.5" customHeight="1">
      <c r="A136" s="18"/>
      <c r="B136" s="19" t="s">
        <v>392</v>
      </c>
      <c r="C136" s="20" t="s">
        <v>393</v>
      </c>
      <c r="D136" s="10">
        <v>1.0</v>
      </c>
      <c r="E136" s="10">
        <v>0.0</v>
      </c>
      <c r="F136" s="13"/>
      <c r="G136" s="14">
        <v>20.44</v>
      </c>
      <c r="H136" s="13"/>
      <c r="I136" s="13"/>
    </row>
    <row r="137" ht="52.5" customHeight="1">
      <c r="A137" s="18"/>
      <c r="B137" s="19" t="s">
        <v>394</v>
      </c>
      <c r="C137" s="20" t="s">
        <v>395</v>
      </c>
      <c r="D137" s="10">
        <v>1.0</v>
      </c>
      <c r="E137" s="10">
        <v>36.0</v>
      </c>
      <c r="F137" s="13"/>
      <c r="G137" s="14">
        <v>10.02</v>
      </c>
      <c r="H137" s="13"/>
      <c r="I137" s="13"/>
    </row>
    <row r="138" ht="52.5" customHeight="1">
      <c r="A138" s="18"/>
      <c r="B138" s="19" t="s">
        <v>396</v>
      </c>
      <c r="C138" s="20" t="s">
        <v>397</v>
      </c>
      <c r="D138" s="10">
        <v>1.0</v>
      </c>
      <c r="E138" s="10">
        <v>36.0</v>
      </c>
      <c r="F138" s="13"/>
      <c r="G138" s="14">
        <v>5.03</v>
      </c>
      <c r="H138" s="13"/>
      <c r="I138" s="13"/>
    </row>
    <row r="139" ht="52.5" customHeight="1">
      <c r="A139" s="18"/>
      <c r="B139" s="19" t="s">
        <v>398</v>
      </c>
      <c r="C139" s="20" t="s">
        <v>399</v>
      </c>
      <c r="D139" s="10">
        <v>1.0</v>
      </c>
      <c r="E139" s="10">
        <v>36.0</v>
      </c>
      <c r="F139" s="13"/>
      <c r="G139" s="14">
        <v>9.49</v>
      </c>
      <c r="H139" s="13"/>
      <c r="I139" s="13"/>
    </row>
    <row r="140" ht="52.5" customHeight="1">
      <c r="A140" s="18"/>
      <c r="B140" s="19" t="s">
        <v>400</v>
      </c>
      <c r="C140" s="20" t="s">
        <v>401</v>
      </c>
      <c r="D140" s="10">
        <v>1.0</v>
      </c>
      <c r="E140" s="10">
        <v>11.0</v>
      </c>
      <c r="F140" s="13"/>
      <c r="G140" s="14">
        <v>11.37</v>
      </c>
      <c r="H140" s="13"/>
      <c r="I140" s="13"/>
    </row>
    <row r="141" ht="52.5" customHeight="1">
      <c r="A141" s="18"/>
      <c r="B141" s="19" t="s">
        <v>402</v>
      </c>
      <c r="C141" s="20" t="s">
        <v>403</v>
      </c>
      <c r="D141" s="10">
        <v>1.0</v>
      </c>
      <c r="E141" s="10">
        <v>73.0</v>
      </c>
      <c r="F141" s="13"/>
      <c r="G141" s="14">
        <v>12.9</v>
      </c>
      <c r="H141" s="13"/>
      <c r="I141" s="13"/>
    </row>
    <row r="142" ht="52.5" customHeight="1">
      <c r="A142" s="18"/>
      <c r="B142" s="19" t="s">
        <v>404</v>
      </c>
      <c r="C142" s="20" t="s">
        <v>405</v>
      </c>
      <c r="D142" s="10">
        <v>1.0</v>
      </c>
      <c r="E142" s="10">
        <v>0.0</v>
      </c>
      <c r="F142" s="13"/>
      <c r="G142" s="14">
        <v>4.12</v>
      </c>
      <c r="H142" s="13"/>
      <c r="I142" s="13"/>
    </row>
    <row r="143" ht="52.5" customHeight="1">
      <c r="A143" s="18"/>
      <c r="B143" s="19" t="s">
        <v>406</v>
      </c>
      <c r="C143" s="20" t="s">
        <v>407</v>
      </c>
      <c r="D143" s="10">
        <v>1.0</v>
      </c>
      <c r="E143" s="10">
        <v>0.0</v>
      </c>
      <c r="F143" s="13"/>
      <c r="G143" s="14">
        <v>3.87</v>
      </c>
      <c r="H143" s="13"/>
      <c r="I143" s="13"/>
    </row>
    <row r="144" ht="52.5" customHeight="1">
      <c r="A144" s="18"/>
      <c r="B144" s="19" t="s">
        <v>408</v>
      </c>
      <c r="C144" s="20" t="s">
        <v>409</v>
      </c>
      <c r="D144" s="10">
        <v>1.0</v>
      </c>
      <c r="E144" s="10">
        <v>20.0</v>
      </c>
      <c r="F144" s="13"/>
      <c r="G144" s="30">
        <v>4.0683</v>
      </c>
      <c r="H144" s="13"/>
      <c r="I144" s="13"/>
    </row>
    <row r="145" ht="52.5" customHeight="1">
      <c r="A145" s="18"/>
      <c r="B145" s="19" t="s">
        <v>410</v>
      </c>
      <c r="C145" s="20" t="s">
        <v>411</v>
      </c>
      <c r="D145" s="10">
        <v>1.0</v>
      </c>
      <c r="E145" s="10">
        <v>24.0</v>
      </c>
      <c r="F145" s="13"/>
      <c r="G145" s="30">
        <v>8.0975</v>
      </c>
      <c r="H145" s="13"/>
      <c r="I145" s="13"/>
    </row>
    <row r="146" ht="52.5" customHeight="1">
      <c r="A146" s="18"/>
      <c r="B146" s="19" t="s">
        <v>412</v>
      </c>
      <c r="C146" s="20" t="s">
        <v>413</v>
      </c>
      <c r="D146" s="10">
        <v>1.0</v>
      </c>
      <c r="E146" s="10">
        <v>36.0</v>
      </c>
      <c r="F146" s="13"/>
      <c r="G146" s="30">
        <v>23.3717</v>
      </c>
      <c r="H146" s="13"/>
      <c r="I146" s="13"/>
    </row>
    <row r="147" ht="52.5" customHeight="1">
      <c r="A147" s="18"/>
      <c r="B147" s="19" t="s">
        <v>414</v>
      </c>
      <c r="C147" s="20" t="s">
        <v>415</v>
      </c>
      <c r="D147" s="10">
        <v>1.0</v>
      </c>
      <c r="E147" s="10">
        <v>0.0</v>
      </c>
      <c r="F147" s="13"/>
      <c r="G147" s="30">
        <v>8.9792</v>
      </c>
      <c r="H147" s="13"/>
      <c r="I147" s="13"/>
    </row>
    <row r="148" ht="52.5" customHeight="1">
      <c r="A148" s="18"/>
      <c r="B148" s="19" t="s">
        <v>416</v>
      </c>
      <c r="C148" s="20" t="s">
        <v>417</v>
      </c>
      <c r="D148" s="10">
        <v>1.0</v>
      </c>
      <c r="E148" s="10">
        <v>0.0</v>
      </c>
      <c r="F148" s="13"/>
      <c r="G148" s="30">
        <v>5.6777</v>
      </c>
      <c r="H148" s="13"/>
      <c r="I148" s="13"/>
    </row>
    <row r="149" ht="52.5" customHeight="1">
      <c r="A149" s="18"/>
      <c r="B149" s="19" t="s">
        <v>418</v>
      </c>
      <c r="C149" s="20" t="s">
        <v>419</v>
      </c>
      <c r="D149" s="10">
        <v>1.0</v>
      </c>
      <c r="E149" s="10">
        <v>0.0</v>
      </c>
      <c r="F149" s="13"/>
      <c r="G149" s="30">
        <v>12.4191</v>
      </c>
      <c r="H149" s="13"/>
      <c r="I149" s="13"/>
    </row>
    <row r="150" ht="52.5" customHeight="1">
      <c r="A150" s="18"/>
      <c r="B150" s="19" t="s">
        <v>420</v>
      </c>
      <c r="C150" s="20" t="s">
        <v>421</v>
      </c>
      <c r="D150" s="10">
        <v>1.0</v>
      </c>
      <c r="E150" s="10">
        <v>12.0</v>
      </c>
      <c r="F150" s="13"/>
      <c r="G150" s="30">
        <v>5.155</v>
      </c>
      <c r="H150" s="13"/>
      <c r="I150" s="13"/>
    </row>
    <row r="151" ht="52.5" customHeight="1">
      <c r="A151" s="18"/>
      <c r="B151" s="19" t="s">
        <v>422</v>
      </c>
      <c r="C151" s="20" t="s">
        <v>423</v>
      </c>
      <c r="D151" s="10">
        <v>1.0</v>
      </c>
      <c r="E151" s="10">
        <v>36.0</v>
      </c>
      <c r="F151" s="13"/>
      <c r="G151" s="30">
        <v>16.7558</v>
      </c>
      <c r="H151" s="13"/>
      <c r="I151" s="13"/>
    </row>
    <row r="152" ht="52.5" customHeight="1">
      <c r="A152" s="18"/>
      <c r="B152" s="19" t="s">
        <v>424</v>
      </c>
      <c r="C152" s="20" t="s">
        <v>425</v>
      </c>
      <c r="D152" s="10">
        <v>1.0</v>
      </c>
      <c r="E152" s="10">
        <v>0.0</v>
      </c>
      <c r="F152" s="13"/>
      <c r="G152" s="30">
        <v>3.6917</v>
      </c>
      <c r="H152" s="13"/>
      <c r="I152" s="13"/>
    </row>
    <row r="153" ht="52.5" customHeight="1">
      <c r="A153" s="18"/>
      <c r="B153" s="19" t="s">
        <v>426</v>
      </c>
      <c r="C153" s="20" t="s">
        <v>427</v>
      </c>
      <c r="D153" s="10">
        <v>1.0</v>
      </c>
      <c r="E153" s="10">
        <v>24.0</v>
      </c>
      <c r="F153" s="13"/>
      <c r="G153" s="30">
        <v>6.4041</v>
      </c>
      <c r="H153" s="13"/>
      <c r="I153" s="13"/>
    </row>
    <row r="154" ht="52.5" customHeight="1">
      <c r="A154" s="18"/>
      <c r="B154" s="19" t="s">
        <v>428</v>
      </c>
      <c r="C154" s="20" t="s">
        <v>429</v>
      </c>
      <c r="D154" s="10">
        <v>1.0</v>
      </c>
      <c r="E154" s="10">
        <v>13.0</v>
      </c>
      <c r="F154" s="13"/>
      <c r="G154" s="30">
        <v>10.2108</v>
      </c>
      <c r="H154" s="13"/>
      <c r="I154" s="13"/>
    </row>
    <row r="155" ht="52.5" customHeight="1">
      <c r="A155" s="18"/>
      <c r="B155" s="19" t="s">
        <v>430</v>
      </c>
      <c r="C155" s="20" t="s">
        <v>431</v>
      </c>
      <c r="D155" s="10">
        <v>1.0</v>
      </c>
      <c r="E155" s="10">
        <v>0.0</v>
      </c>
      <c r="F155" s="13"/>
      <c r="G155" s="14">
        <v>10.28</v>
      </c>
      <c r="H155" s="13"/>
      <c r="I155" s="13"/>
    </row>
    <row r="156" ht="52.5" customHeight="1">
      <c r="A156" s="9"/>
      <c r="B156" s="19" t="s">
        <v>432</v>
      </c>
      <c r="C156" s="20" t="s">
        <v>433</v>
      </c>
      <c r="D156" s="10">
        <v>1.0</v>
      </c>
      <c r="E156" s="10">
        <v>11.0</v>
      </c>
      <c r="F156" s="13"/>
      <c r="G156" s="14">
        <v>10.93</v>
      </c>
      <c r="H156" s="13"/>
      <c r="I156" s="13"/>
    </row>
    <row r="157" ht="52.5" customHeight="1">
      <c r="A157" s="9"/>
      <c r="B157" s="19" t="s">
        <v>434</v>
      </c>
      <c r="C157" s="20" t="s">
        <v>435</v>
      </c>
      <c r="D157" s="10">
        <v>1.0</v>
      </c>
      <c r="E157" s="10">
        <v>0.0</v>
      </c>
      <c r="F157" s="13"/>
      <c r="G157" s="14">
        <v>8.71</v>
      </c>
      <c r="H157" s="13"/>
      <c r="I157" s="13"/>
    </row>
    <row r="158" ht="52.5" customHeight="1">
      <c r="A158" s="18"/>
      <c r="B158" s="19" t="s">
        <v>436</v>
      </c>
      <c r="C158" s="20" t="s">
        <v>437</v>
      </c>
      <c r="D158" s="10">
        <v>1.0</v>
      </c>
      <c r="E158" s="10">
        <v>12.0</v>
      </c>
      <c r="F158" s="13"/>
      <c r="G158" s="14">
        <v>11.0</v>
      </c>
      <c r="H158" s="13"/>
      <c r="I158" s="13"/>
    </row>
    <row r="159" ht="52.5" customHeight="1">
      <c r="A159" s="18"/>
      <c r="B159" s="19" t="s">
        <v>438</v>
      </c>
      <c r="C159" s="20" t="s">
        <v>439</v>
      </c>
      <c r="D159" s="10">
        <v>1.0</v>
      </c>
      <c r="E159" s="10">
        <v>0.0</v>
      </c>
      <c r="F159" s="13"/>
      <c r="G159" s="14">
        <v>24.59</v>
      </c>
      <c r="H159" s="13"/>
      <c r="I159" s="13"/>
    </row>
    <row r="160" ht="52.5" customHeight="1">
      <c r="A160" s="18"/>
      <c r="B160" s="19" t="s">
        <v>440</v>
      </c>
      <c r="C160" s="20" t="s">
        <v>441</v>
      </c>
      <c r="D160" s="10">
        <v>1.0</v>
      </c>
      <c r="E160" s="10">
        <v>0.0</v>
      </c>
      <c r="F160" s="13"/>
      <c r="G160" s="14">
        <v>11.09</v>
      </c>
      <c r="H160" s="13"/>
      <c r="I160" s="13"/>
    </row>
    <row r="161" ht="52.5" customHeight="1">
      <c r="A161" s="18"/>
      <c r="B161" s="19" t="s">
        <v>442</v>
      </c>
      <c r="C161" s="20" t="s">
        <v>443</v>
      </c>
      <c r="D161" s="10">
        <v>1.0</v>
      </c>
      <c r="E161" s="10">
        <v>0.0</v>
      </c>
      <c r="F161" s="13"/>
      <c r="G161" s="14">
        <v>7.73</v>
      </c>
      <c r="H161" s="13"/>
      <c r="I161" s="13"/>
    </row>
    <row r="162" ht="52.5" customHeight="1">
      <c r="A162" s="18"/>
      <c r="B162" s="19" t="s">
        <v>444</v>
      </c>
      <c r="C162" s="20" t="s">
        <v>445</v>
      </c>
      <c r="D162" s="10">
        <v>1.0</v>
      </c>
      <c r="E162" s="10">
        <v>0.0</v>
      </c>
      <c r="F162" s="13"/>
      <c r="G162" s="14">
        <v>7.46</v>
      </c>
      <c r="H162" s="13"/>
      <c r="I162" s="13"/>
    </row>
    <row r="163" ht="52.5" customHeight="1">
      <c r="A163" s="18"/>
      <c r="B163" s="19" t="s">
        <v>446</v>
      </c>
      <c r="C163" s="20" t="s">
        <v>447</v>
      </c>
      <c r="D163" s="10">
        <v>1.0</v>
      </c>
      <c r="E163" s="10">
        <v>12.0</v>
      </c>
      <c r="F163" s="13"/>
      <c r="G163" s="30">
        <v>12.0867</v>
      </c>
      <c r="H163" s="13"/>
      <c r="I163" s="13"/>
    </row>
    <row r="164" ht="52.5" customHeight="1">
      <c r="A164" s="18"/>
      <c r="B164" s="19" t="s">
        <v>448</v>
      </c>
      <c r="C164" s="20" t="s">
        <v>449</v>
      </c>
      <c r="D164" s="10">
        <v>1.0</v>
      </c>
      <c r="E164" s="10">
        <v>12.0</v>
      </c>
      <c r="F164" s="13"/>
      <c r="G164" s="30">
        <v>8.2383</v>
      </c>
      <c r="H164" s="13"/>
      <c r="I164" s="13"/>
    </row>
    <row r="165" ht="52.5" customHeight="1">
      <c r="A165" s="9"/>
      <c r="B165" s="37" t="s">
        <v>450</v>
      </c>
      <c r="C165" s="20" t="s">
        <v>451</v>
      </c>
      <c r="D165" s="10">
        <v>1.0</v>
      </c>
      <c r="E165" s="10">
        <v>24.0</v>
      </c>
      <c r="F165" s="13"/>
      <c r="G165" s="13" t="s">
        <v>452</v>
      </c>
      <c r="H165" s="13"/>
      <c r="I165" s="13"/>
    </row>
    <row r="166" ht="52.5" customHeight="1">
      <c r="A166" s="18"/>
      <c r="B166" s="19" t="s">
        <v>453</v>
      </c>
      <c r="C166" s="20" t="s">
        <v>454</v>
      </c>
      <c r="D166" s="10">
        <v>1.0</v>
      </c>
      <c r="E166" s="10">
        <v>50.0</v>
      </c>
      <c r="F166" s="13"/>
      <c r="G166" s="13" t="s">
        <v>455</v>
      </c>
      <c r="H166" s="13"/>
      <c r="I166" s="13"/>
    </row>
    <row r="167" ht="52.5" customHeight="1">
      <c r="A167" s="9"/>
      <c r="B167" s="19" t="s">
        <v>456</v>
      </c>
      <c r="C167" s="20" t="s">
        <v>457</v>
      </c>
      <c r="D167" s="10">
        <v>1.0</v>
      </c>
      <c r="E167" s="10">
        <v>200.0</v>
      </c>
      <c r="F167" s="13"/>
      <c r="G167" s="13" t="s">
        <v>458</v>
      </c>
      <c r="H167" s="13"/>
      <c r="I167" s="13"/>
    </row>
    <row r="168" ht="52.5" customHeight="1">
      <c r="A168" s="18"/>
      <c r="B168" s="19" t="s">
        <v>459</v>
      </c>
      <c r="C168" s="20" t="s">
        <v>460</v>
      </c>
      <c r="D168" s="10">
        <v>1.0</v>
      </c>
      <c r="E168" s="10">
        <v>101.0</v>
      </c>
      <c r="F168" s="13"/>
      <c r="G168" s="13" t="s">
        <v>461</v>
      </c>
      <c r="H168" s="13"/>
      <c r="I168" s="13"/>
    </row>
    <row r="169" ht="52.5" customHeight="1">
      <c r="A169" s="9"/>
      <c r="B169" s="19" t="s">
        <v>462</v>
      </c>
      <c r="C169" s="20" t="s">
        <v>463</v>
      </c>
      <c r="D169" s="10">
        <v>1.0</v>
      </c>
      <c r="E169" s="10">
        <v>575.0</v>
      </c>
      <c r="F169" s="13"/>
      <c r="G169" s="13" t="s">
        <v>464</v>
      </c>
      <c r="H169" s="13"/>
      <c r="I169" s="13"/>
    </row>
    <row r="170" ht="52.5" customHeight="1">
      <c r="A170" s="9"/>
      <c r="B170" s="19" t="s">
        <v>465</v>
      </c>
      <c r="C170" s="20" t="s">
        <v>466</v>
      </c>
      <c r="D170" s="10">
        <v>1.0</v>
      </c>
      <c r="E170" s="10">
        <v>50.0</v>
      </c>
      <c r="F170" s="38"/>
      <c r="G170" s="38" t="s">
        <v>467</v>
      </c>
      <c r="H170" s="13"/>
      <c r="I170" s="13"/>
    </row>
    <row r="171" ht="52.5" customHeight="1">
      <c r="A171" s="9"/>
      <c r="B171" s="19" t="s">
        <v>468</v>
      </c>
      <c r="C171" s="20" t="s">
        <v>469</v>
      </c>
      <c r="D171" s="10">
        <v>1.0</v>
      </c>
      <c r="E171" s="10">
        <v>66.0</v>
      </c>
      <c r="F171" s="30"/>
      <c r="G171" s="30">
        <v>0.4852</v>
      </c>
      <c r="H171" s="13"/>
      <c r="I171" s="13"/>
    </row>
    <row r="172" ht="52.5" customHeight="1">
      <c r="A172" s="9"/>
      <c r="B172" s="19" t="s">
        <v>470</v>
      </c>
      <c r="C172" s="20" t="s">
        <v>471</v>
      </c>
      <c r="D172" s="10">
        <v>1.0</v>
      </c>
      <c r="E172" s="10">
        <v>12.0</v>
      </c>
      <c r="F172" s="30"/>
      <c r="G172" s="30">
        <v>0.624</v>
      </c>
      <c r="H172" s="13"/>
      <c r="I172" s="13"/>
    </row>
    <row r="173" ht="52.5" customHeight="1">
      <c r="A173" s="9"/>
      <c r="B173" s="19" t="s">
        <v>472</v>
      </c>
      <c r="C173" s="20" t="s">
        <v>473</v>
      </c>
      <c r="D173" s="10">
        <v>1.0</v>
      </c>
      <c r="E173" s="10">
        <v>14.0</v>
      </c>
      <c r="F173" s="13"/>
      <c r="G173" s="13" t="s">
        <v>474</v>
      </c>
      <c r="H173" s="13"/>
      <c r="I173" s="13"/>
    </row>
    <row r="174" ht="52.5" customHeight="1">
      <c r="A174" s="9"/>
      <c r="B174" s="19" t="s">
        <v>475</v>
      </c>
      <c r="C174" s="20" t="s">
        <v>476</v>
      </c>
      <c r="D174" s="10">
        <v>1.0</v>
      </c>
      <c r="E174" s="10">
        <v>22.0</v>
      </c>
      <c r="F174" s="13"/>
      <c r="G174" s="13" t="s">
        <v>477</v>
      </c>
      <c r="H174" s="13"/>
      <c r="I174" s="13"/>
    </row>
    <row r="175" ht="52.5" customHeight="1">
      <c r="A175" s="9"/>
      <c r="B175" s="19" t="s">
        <v>478</v>
      </c>
      <c r="C175" s="20" t="s">
        <v>479</v>
      </c>
      <c r="D175" s="10">
        <v>1.0</v>
      </c>
      <c r="E175" s="10">
        <v>10.0</v>
      </c>
      <c r="F175" s="13"/>
      <c r="G175" s="14">
        <v>3.15</v>
      </c>
      <c r="H175" s="13"/>
      <c r="I175" s="13"/>
    </row>
    <row r="176" ht="52.5" customHeight="1">
      <c r="A176" s="9"/>
      <c r="B176" s="19" t="s">
        <v>480</v>
      </c>
      <c r="C176" s="20" t="s">
        <v>481</v>
      </c>
      <c r="D176" s="10">
        <v>1.0</v>
      </c>
      <c r="E176" s="10">
        <v>1.0</v>
      </c>
      <c r="F176" s="13"/>
      <c r="G176" s="14">
        <v>7.95</v>
      </c>
      <c r="H176" s="13"/>
      <c r="I176" s="13"/>
    </row>
    <row r="177" ht="52.5" customHeight="1">
      <c r="A177" s="9"/>
      <c r="B177" s="19" t="s">
        <v>482</v>
      </c>
      <c r="C177" s="20" t="s">
        <v>483</v>
      </c>
      <c r="D177" s="10">
        <v>1.0</v>
      </c>
      <c r="E177" s="10">
        <v>1.0</v>
      </c>
      <c r="F177" s="13"/>
      <c r="G177" s="15" t="s">
        <v>484</v>
      </c>
      <c r="H177" s="13"/>
      <c r="I177" s="13"/>
    </row>
    <row r="178" ht="52.5" customHeight="1">
      <c r="A178" s="9"/>
      <c r="B178" s="19" t="s">
        <v>485</v>
      </c>
      <c r="C178" s="20" t="s">
        <v>486</v>
      </c>
      <c r="D178" s="10">
        <v>1.0</v>
      </c>
      <c r="E178" s="10">
        <v>22.0</v>
      </c>
      <c r="F178" s="13"/>
      <c r="G178" s="15" t="s">
        <v>487</v>
      </c>
      <c r="H178" s="13"/>
      <c r="I178" s="13"/>
    </row>
    <row r="179" ht="52.5" customHeight="1">
      <c r="A179" s="9"/>
      <c r="B179" s="19" t="s">
        <v>488</v>
      </c>
      <c r="C179" s="20" t="s">
        <v>489</v>
      </c>
      <c r="D179" s="10">
        <v>1.0</v>
      </c>
      <c r="E179" s="10">
        <v>23.0</v>
      </c>
      <c r="F179" s="13"/>
      <c r="G179" s="14">
        <v>1.04</v>
      </c>
      <c r="H179" s="13"/>
      <c r="I179" s="13"/>
    </row>
    <row r="180" ht="52.5" customHeight="1">
      <c r="A180" s="9"/>
      <c r="B180" s="19" t="s">
        <v>490</v>
      </c>
      <c r="C180" s="20" t="s">
        <v>491</v>
      </c>
      <c r="D180" s="10">
        <v>1.0</v>
      </c>
      <c r="E180" s="10">
        <v>11.0</v>
      </c>
      <c r="F180" s="13"/>
      <c r="G180" s="14">
        <v>1.69</v>
      </c>
      <c r="H180" s="13"/>
      <c r="I180" s="13"/>
    </row>
    <row r="181" ht="52.5" customHeight="1">
      <c r="A181" s="9"/>
      <c r="B181" s="19" t="s">
        <v>492</v>
      </c>
      <c r="C181" s="20" t="s">
        <v>493</v>
      </c>
      <c r="D181" s="10">
        <v>1.0</v>
      </c>
      <c r="E181" s="10">
        <v>2.0</v>
      </c>
      <c r="F181" s="13"/>
      <c r="G181" s="14">
        <v>11.04</v>
      </c>
      <c r="H181" s="13"/>
      <c r="I181" s="13"/>
    </row>
    <row r="182" ht="52.5" customHeight="1">
      <c r="A182" s="9"/>
      <c r="B182" s="19" t="s">
        <v>494</v>
      </c>
      <c r="C182" s="20" t="s">
        <v>495</v>
      </c>
      <c r="D182" s="10">
        <v>1.0</v>
      </c>
      <c r="E182" s="10">
        <v>44.0</v>
      </c>
      <c r="F182" s="13"/>
      <c r="G182" s="14">
        <v>1.565</v>
      </c>
      <c r="H182" s="13"/>
      <c r="I182" s="13"/>
    </row>
    <row r="183" ht="52.5" customHeight="1">
      <c r="A183" s="9"/>
      <c r="B183" s="19" t="s">
        <v>496</v>
      </c>
      <c r="C183" s="20" t="s">
        <v>497</v>
      </c>
      <c r="D183" s="10">
        <v>1.0</v>
      </c>
      <c r="E183" s="10">
        <v>1.0</v>
      </c>
      <c r="F183" s="13"/>
      <c r="G183" s="14">
        <v>1.21</v>
      </c>
      <c r="H183" s="13"/>
      <c r="I183" s="13"/>
    </row>
    <row r="184" ht="52.5" customHeight="1">
      <c r="A184" s="18"/>
      <c r="B184" s="19" t="s">
        <v>498</v>
      </c>
      <c r="C184" s="20" t="s">
        <v>499</v>
      </c>
      <c r="D184" s="10">
        <v>1.0</v>
      </c>
      <c r="E184" s="10">
        <v>0.0</v>
      </c>
      <c r="F184" s="13"/>
      <c r="G184" s="14">
        <v>1.79</v>
      </c>
      <c r="H184" s="13"/>
      <c r="I184" s="13"/>
    </row>
    <row r="185" ht="52.5" customHeight="1">
      <c r="A185" s="9"/>
      <c r="B185" s="19" t="s">
        <v>500</v>
      </c>
      <c r="C185" s="20" t="s">
        <v>501</v>
      </c>
      <c r="D185" s="10">
        <v>1.0</v>
      </c>
      <c r="E185" s="10">
        <v>77.0</v>
      </c>
      <c r="F185" s="13"/>
      <c r="G185" s="15" t="s">
        <v>502</v>
      </c>
      <c r="H185" s="13"/>
      <c r="I185" s="13"/>
    </row>
    <row r="186" ht="52.5" customHeight="1">
      <c r="A186" s="18"/>
      <c r="B186" s="19" t="s">
        <v>503</v>
      </c>
      <c r="C186" s="20" t="s">
        <v>504</v>
      </c>
      <c r="D186" s="10">
        <v>1.0</v>
      </c>
      <c r="E186" s="10">
        <v>0.0</v>
      </c>
      <c r="F186" s="13"/>
      <c r="G186" s="39">
        <v>35.0</v>
      </c>
      <c r="H186" s="13"/>
      <c r="I186" s="13"/>
    </row>
    <row r="187" ht="52.5" customHeight="1">
      <c r="A187" s="18"/>
      <c r="B187" s="19" t="s">
        <v>505</v>
      </c>
      <c r="C187" s="20" t="s">
        <v>506</v>
      </c>
      <c r="D187" s="10">
        <v>1.0</v>
      </c>
      <c r="E187" s="10">
        <v>0.0</v>
      </c>
      <c r="F187" s="13"/>
      <c r="G187" s="30">
        <v>16.31</v>
      </c>
      <c r="H187" s="13"/>
      <c r="I187" s="13"/>
    </row>
    <row r="188" ht="52.5" customHeight="1">
      <c r="A188" s="18"/>
      <c r="B188" s="19" t="s">
        <v>507</v>
      </c>
      <c r="C188" s="20" t="s">
        <v>508</v>
      </c>
      <c r="D188" s="10">
        <v>1.0</v>
      </c>
      <c r="E188" s="10">
        <v>12.0</v>
      </c>
      <c r="F188" s="13"/>
      <c r="G188" s="14">
        <v>32.9</v>
      </c>
      <c r="H188" s="13"/>
      <c r="I188" s="13"/>
    </row>
    <row r="189" ht="52.5" customHeight="1">
      <c r="A189" s="9"/>
      <c r="B189" s="19" t="s">
        <v>509</v>
      </c>
      <c r="C189" s="20" t="s">
        <v>510</v>
      </c>
      <c r="D189" s="10">
        <v>1.0</v>
      </c>
      <c r="E189" s="10">
        <v>42.0</v>
      </c>
      <c r="F189" s="13"/>
      <c r="G189" s="14">
        <v>2.91</v>
      </c>
      <c r="H189" s="13"/>
      <c r="I189" s="13"/>
    </row>
    <row r="190" ht="52.5" customHeight="1">
      <c r="A190" s="9"/>
      <c r="B190" s="19" t="s">
        <v>511</v>
      </c>
      <c r="C190" s="20" t="s">
        <v>512</v>
      </c>
      <c r="D190" s="10">
        <v>1.0</v>
      </c>
      <c r="E190" s="10">
        <v>100.0</v>
      </c>
      <c r="F190" s="13"/>
      <c r="G190" s="15" t="s">
        <v>513</v>
      </c>
      <c r="H190" s="13"/>
      <c r="I190" s="13"/>
    </row>
    <row r="191" ht="52.5" customHeight="1">
      <c r="A191" s="9"/>
      <c r="B191" s="19" t="s">
        <v>514</v>
      </c>
      <c r="C191" s="20" t="s">
        <v>515</v>
      </c>
      <c r="D191" s="10">
        <v>1.0</v>
      </c>
      <c r="E191" s="10">
        <v>400.0</v>
      </c>
      <c r="F191" s="13"/>
      <c r="G191" s="30">
        <v>0.0151</v>
      </c>
      <c r="H191" s="13"/>
      <c r="I191" s="13"/>
    </row>
    <row r="192" ht="52.5" customHeight="1">
      <c r="A192" s="9"/>
      <c r="B192" s="19" t="s">
        <v>516</v>
      </c>
      <c r="C192" s="20" t="s">
        <v>517</v>
      </c>
      <c r="D192" s="10">
        <v>1.0</v>
      </c>
      <c r="E192" s="10">
        <v>1600.0</v>
      </c>
      <c r="F192" s="10" t="s">
        <v>518</v>
      </c>
      <c r="G192" s="14">
        <v>1.31</v>
      </c>
      <c r="H192" s="13"/>
      <c r="I192" s="13"/>
    </row>
    <row r="193" ht="52.5" customHeight="1">
      <c r="A193" s="9"/>
      <c r="B193" s="19" t="s">
        <v>519</v>
      </c>
      <c r="C193" s="20" t="s">
        <v>520</v>
      </c>
      <c r="D193" s="10">
        <v>1.0</v>
      </c>
      <c r="E193" s="10">
        <v>2600.0</v>
      </c>
      <c r="F193" s="10" t="s">
        <v>518</v>
      </c>
      <c r="G193" s="14">
        <v>3.23</v>
      </c>
      <c r="H193" s="13"/>
      <c r="I193" s="13"/>
    </row>
    <row r="194" ht="52.5" customHeight="1">
      <c r="A194" s="9"/>
      <c r="B194" s="19" t="s">
        <v>208</v>
      </c>
      <c r="C194" s="20" t="s">
        <v>210</v>
      </c>
      <c r="D194" s="10">
        <v>10.0</v>
      </c>
      <c r="E194" s="10">
        <v>69.0</v>
      </c>
      <c r="F194" s="13"/>
      <c r="G194" s="14">
        <v>0.12</v>
      </c>
      <c r="H194" s="13"/>
      <c r="I194" s="13"/>
    </row>
    <row r="195" ht="52.5" customHeight="1">
      <c r="A195" s="18"/>
      <c r="B195" s="19" t="s">
        <v>521</v>
      </c>
      <c r="C195" s="20" t="s">
        <v>522</v>
      </c>
      <c r="D195" s="10">
        <v>1.0</v>
      </c>
      <c r="E195" s="10">
        <v>0.0</v>
      </c>
      <c r="F195" s="13"/>
      <c r="G195" s="14">
        <v>0.12</v>
      </c>
      <c r="H195" s="13"/>
      <c r="I195" s="13"/>
    </row>
    <row r="196" ht="52.5" customHeight="1">
      <c r="A196" s="9"/>
      <c r="B196" s="19" t="s">
        <v>523</v>
      </c>
      <c r="C196" s="20" t="s">
        <v>524</v>
      </c>
      <c r="D196" s="10">
        <v>1.0</v>
      </c>
      <c r="E196" s="10">
        <v>300.0</v>
      </c>
      <c r="F196" s="13"/>
      <c r="G196" s="14">
        <v>0.1372</v>
      </c>
      <c r="H196" s="13"/>
      <c r="I196" s="13"/>
    </row>
    <row r="197" ht="52.5" customHeight="1">
      <c r="A197" s="9"/>
      <c r="B197" s="19" t="s">
        <v>525</v>
      </c>
      <c r="C197" s="20" t="s">
        <v>526</v>
      </c>
      <c r="D197" s="10">
        <v>1.0</v>
      </c>
      <c r="E197" s="10">
        <v>49.0</v>
      </c>
      <c r="F197" s="13"/>
      <c r="G197" s="14">
        <v>1.47</v>
      </c>
      <c r="H197" s="13"/>
      <c r="I197" s="13"/>
    </row>
    <row r="198" ht="52.5" customHeight="1">
      <c r="A198" s="18"/>
      <c r="B198" s="19" t="s">
        <v>527</v>
      </c>
      <c r="C198" s="20" t="s">
        <v>528</v>
      </c>
      <c r="D198" s="10">
        <v>1.0</v>
      </c>
      <c r="E198" s="10">
        <v>42.0</v>
      </c>
      <c r="F198" s="13"/>
      <c r="G198" s="14">
        <v>3.48</v>
      </c>
      <c r="H198" s="13"/>
      <c r="I198" s="13"/>
    </row>
    <row r="199" ht="52.5" customHeight="1">
      <c r="A199" s="18"/>
      <c r="B199" s="19" t="s">
        <v>529</v>
      </c>
      <c r="C199" s="20" t="s">
        <v>530</v>
      </c>
      <c r="D199" s="10">
        <v>1.0</v>
      </c>
      <c r="E199" s="10">
        <v>0.0</v>
      </c>
      <c r="F199" s="13"/>
      <c r="G199" s="14">
        <v>5.3</v>
      </c>
      <c r="H199" s="13"/>
      <c r="I199" s="13"/>
    </row>
    <row r="200" ht="52.5" customHeight="1">
      <c r="A200" s="18"/>
      <c r="B200" s="19" t="s">
        <v>531</v>
      </c>
      <c r="C200" s="20" t="s">
        <v>532</v>
      </c>
      <c r="D200" s="10">
        <v>1.0</v>
      </c>
      <c r="E200" s="10">
        <v>30.0</v>
      </c>
      <c r="F200" s="13"/>
      <c r="G200" s="15" t="s">
        <v>533</v>
      </c>
      <c r="H200" s="13"/>
      <c r="I200" s="13"/>
    </row>
    <row r="201" ht="52.5" customHeight="1">
      <c r="A201" s="18"/>
      <c r="B201" s="19" t="s">
        <v>534</v>
      </c>
      <c r="C201" s="20" t="s">
        <v>535</v>
      </c>
      <c r="D201" s="10">
        <v>1.0</v>
      </c>
      <c r="E201" s="10">
        <v>24.0</v>
      </c>
      <c r="F201" s="13"/>
      <c r="G201" s="30">
        <v>3.8867</v>
      </c>
      <c r="H201" s="13"/>
      <c r="I201" s="13"/>
    </row>
    <row r="202" ht="52.5" customHeight="1">
      <c r="A202" s="18"/>
      <c r="B202" s="19" t="s">
        <v>536</v>
      </c>
      <c r="C202" s="20" t="s">
        <v>537</v>
      </c>
      <c r="D202" s="10">
        <v>1.0</v>
      </c>
      <c r="E202" s="10">
        <v>20.0</v>
      </c>
      <c r="F202" s="13"/>
      <c r="G202" s="15" t="s">
        <v>538</v>
      </c>
      <c r="H202" s="13"/>
      <c r="I202" s="13"/>
    </row>
    <row r="203" ht="52.5" customHeight="1">
      <c r="A203" s="9"/>
      <c r="B203" s="19" t="s">
        <v>539</v>
      </c>
      <c r="C203" s="20" t="s">
        <v>540</v>
      </c>
      <c r="D203" s="10">
        <v>1.0</v>
      </c>
      <c r="E203" s="10">
        <v>178.0</v>
      </c>
      <c r="F203" s="13"/>
      <c r="G203" s="14">
        <v>0.2274</v>
      </c>
      <c r="H203" s="13"/>
      <c r="I203" s="13"/>
    </row>
    <row r="204" ht="52.5" customHeight="1">
      <c r="A204" s="9"/>
      <c r="B204" s="19" t="s">
        <v>541</v>
      </c>
      <c r="C204" s="20" t="s">
        <v>542</v>
      </c>
      <c r="D204" s="10">
        <v>1.0</v>
      </c>
      <c r="E204" s="10">
        <v>100.0</v>
      </c>
      <c r="F204" s="13"/>
      <c r="G204" s="15" t="s">
        <v>543</v>
      </c>
      <c r="H204" s="13"/>
      <c r="I204" s="13"/>
    </row>
    <row r="205" ht="52.5" customHeight="1">
      <c r="A205" s="9"/>
      <c r="B205" s="19" t="s">
        <v>544</v>
      </c>
      <c r="C205" s="20" t="s">
        <v>545</v>
      </c>
      <c r="D205" s="10">
        <v>1.0</v>
      </c>
      <c r="E205" s="10">
        <v>100.0</v>
      </c>
      <c r="F205" s="13"/>
      <c r="G205" s="15" t="s">
        <v>543</v>
      </c>
      <c r="H205" s="13"/>
      <c r="I205" s="13"/>
    </row>
    <row r="206" ht="52.5" customHeight="1">
      <c r="A206" s="9"/>
      <c r="B206" s="19" t="s">
        <v>136</v>
      </c>
      <c r="C206" s="20" t="s">
        <v>137</v>
      </c>
      <c r="D206" s="10">
        <v>10.0</v>
      </c>
      <c r="E206" s="10">
        <v>70.0</v>
      </c>
      <c r="F206" s="13"/>
      <c r="G206" s="15" t="s">
        <v>546</v>
      </c>
      <c r="H206" s="13"/>
      <c r="I206" s="13"/>
    </row>
    <row r="207" ht="52.5" customHeight="1">
      <c r="A207" s="9"/>
      <c r="B207" s="40" t="s">
        <v>547</v>
      </c>
      <c r="C207" s="41" t="s">
        <v>548</v>
      </c>
      <c r="D207" s="10">
        <v>1.0</v>
      </c>
      <c r="E207" s="10">
        <v>50.0</v>
      </c>
      <c r="F207" s="13"/>
      <c r="G207" s="14">
        <v>2.17</v>
      </c>
      <c r="H207" s="13"/>
      <c r="I207" s="13"/>
    </row>
    <row r="208" ht="52.5" customHeight="1">
      <c r="A208" s="9"/>
      <c r="B208" s="19" t="s">
        <v>549</v>
      </c>
      <c r="C208" s="20" t="s">
        <v>550</v>
      </c>
      <c r="D208" s="10">
        <v>1.0</v>
      </c>
      <c r="E208" s="10">
        <v>50.0</v>
      </c>
      <c r="F208" s="13"/>
      <c r="G208" s="14">
        <v>4.15</v>
      </c>
      <c r="H208" s="13"/>
      <c r="I208" s="13"/>
    </row>
    <row r="209" ht="52.5" customHeight="1">
      <c r="A209" s="9"/>
      <c r="B209" s="19" t="s">
        <v>551</v>
      </c>
      <c r="C209" s="20" t="s">
        <v>552</v>
      </c>
      <c r="D209" s="10">
        <v>1.0</v>
      </c>
      <c r="E209" s="10">
        <v>44.0</v>
      </c>
      <c r="F209" s="13"/>
      <c r="G209" s="30">
        <v>1.14</v>
      </c>
      <c r="H209" s="13"/>
      <c r="I209" s="13"/>
    </row>
    <row r="210" ht="52.5" customHeight="1">
      <c r="A210" s="9"/>
      <c r="B210" s="19" t="s">
        <v>553</v>
      </c>
      <c r="C210" s="20" t="s">
        <v>554</v>
      </c>
      <c r="D210" s="10">
        <v>1.0</v>
      </c>
      <c r="E210" s="10">
        <v>6.0</v>
      </c>
      <c r="F210" s="13"/>
      <c r="G210" s="15" t="s">
        <v>555</v>
      </c>
      <c r="H210" s="13"/>
      <c r="I210" s="13"/>
    </row>
    <row r="211" ht="52.5" customHeight="1">
      <c r="A211" s="9"/>
      <c r="B211" s="19" t="s">
        <v>556</v>
      </c>
      <c r="C211" s="20" t="s">
        <v>557</v>
      </c>
      <c r="D211" s="10">
        <v>1.0</v>
      </c>
      <c r="E211" s="10">
        <v>49.0</v>
      </c>
      <c r="F211" s="13"/>
      <c r="G211" s="15" t="s">
        <v>558</v>
      </c>
      <c r="H211" s="13"/>
      <c r="I211" s="13"/>
    </row>
    <row r="212" ht="52.5" customHeight="1">
      <c r="A212" s="9"/>
      <c r="B212" s="19" t="s">
        <v>559</v>
      </c>
      <c r="C212" s="20" t="s">
        <v>560</v>
      </c>
      <c r="D212" s="10">
        <v>1.0</v>
      </c>
      <c r="E212" s="10">
        <v>33.0</v>
      </c>
      <c r="F212" s="13"/>
      <c r="G212" s="15" t="s">
        <v>561</v>
      </c>
      <c r="H212" s="13"/>
      <c r="I212" s="13"/>
    </row>
    <row r="213" ht="52.5" customHeight="1">
      <c r="A213" s="9"/>
      <c r="B213" s="19" t="s">
        <v>562</v>
      </c>
      <c r="C213" s="20" t="s">
        <v>563</v>
      </c>
      <c r="D213" s="10">
        <v>1.0</v>
      </c>
      <c r="E213" s="10">
        <v>9.0</v>
      </c>
      <c r="F213" s="13"/>
      <c r="G213" s="14">
        <v>2.03</v>
      </c>
      <c r="H213" s="13"/>
      <c r="I213" s="13"/>
    </row>
    <row r="214" ht="52.5" customHeight="1">
      <c r="A214" s="9"/>
      <c r="B214" s="19" t="s">
        <v>564</v>
      </c>
      <c r="C214" s="20" t="s">
        <v>565</v>
      </c>
      <c r="D214" s="10">
        <v>1.0</v>
      </c>
      <c r="E214" s="10">
        <v>8.0</v>
      </c>
      <c r="F214" s="13"/>
      <c r="G214" s="14">
        <v>0.96</v>
      </c>
      <c r="H214" s="13"/>
      <c r="I214" s="13"/>
    </row>
    <row r="215" ht="52.5" customHeight="1">
      <c r="A215" s="9"/>
      <c r="B215" s="19" t="s">
        <v>566</v>
      </c>
      <c r="C215" s="20" t="s">
        <v>567</v>
      </c>
      <c r="D215" s="10">
        <v>1.0</v>
      </c>
      <c r="E215" s="10">
        <v>26.0</v>
      </c>
      <c r="F215" s="13"/>
      <c r="G215" s="14">
        <v>1.55</v>
      </c>
      <c r="H215" s="13"/>
      <c r="I215" s="13"/>
    </row>
    <row r="216" ht="52.5" customHeight="1">
      <c r="A216" s="18"/>
      <c r="B216" s="19" t="s">
        <v>568</v>
      </c>
      <c r="C216" s="20" t="s">
        <v>569</v>
      </c>
      <c r="D216" s="10">
        <v>1.0</v>
      </c>
      <c r="E216" s="10">
        <v>7.0</v>
      </c>
      <c r="F216" s="13"/>
      <c r="G216" s="14">
        <v>1.95</v>
      </c>
      <c r="H216" s="13"/>
      <c r="I216" s="13"/>
    </row>
    <row r="217" ht="52.5" customHeight="1">
      <c r="A217" s="18"/>
      <c r="B217" s="19" t="s">
        <v>570</v>
      </c>
      <c r="C217" s="20" t="s">
        <v>571</v>
      </c>
      <c r="D217" s="10">
        <v>1.0</v>
      </c>
      <c r="E217" s="42">
        <v>63.0</v>
      </c>
      <c r="F217" s="13"/>
      <c r="G217" s="14">
        <v>2.781</v>
      </c>
      <c r="H217" s="13"/>
      <c r="I217" s="13"/>
    </row>
    <row r="218" ht="52.5" customHeight="1">
      <c r="A218" s="18"/>
      <c r="B218" s="19" t="s">
        <v>572</v>
      </c>
      <c r="C218" s="20" t="s">
        <v>573</v>
      </c>
      <c r="D218" s="10">
        <v>1.0</v>
      </c>
      <c r="E218" s="26">
        <v>26.0</v>
      </c>
      <c r="F218" s="13"/>
      <c r="G218" s="14">
        <v>0.0</v>
      </c>
      <c r="H218" s="13"/>
      <c r="I218" s="13"/>
    </row>
    <row r="219" ht="52.5" customHeight="1">
      <c r="A219" s="18"/>
      <c r="B219" s="19" t="s">
        <v>574</v>
      </c>
      <c r="C219" s="20" t="s">
        <v>575</v>
      </c>
      <c r="D219" s="10">
        <v>1.0</v>
      </c>
      <c r="E219" s="10">
        <v>1.0</v>
      </c>
      <c r="F219" s="13"/>
      <c r="G219" s="14">
        <v>0.7256</v>
      </c>
      <c r="H219" s="13"/>
      <c r="I219" s="13"/>
    </row>
    <row r="220" ht="52.5" customHeight="1">
      <c r="A220" s="18"/>
      <c r="B220" s="19" t="s">
        <v>134</v>
      </c>
      <c r="C220" s="20" t="s">
        <v>135</v>
      </c>
      <c r="D220" s="10">
        <v>1.0</v>
      </c>
      <c r="E220" s="10">
        <v>32.0</v>
      </c>
      <c r="F220" s="13"/>
      <c r="G220" s="14">
        <v>0.0</v>
      </c>
      <c r="H220" s="10" t="s">
        <v>576</v>
      </c>
      <c r="I220" s="13"/>
    </row>
    <row r="221" ht="52.5" customHeight="1">
      <c r="A221" s="18"/>
      <c r="B221" s="19" t="s">
        <v>577</v>
      </c>
      <c r="C221" s="20" t="s">
        <v>578</v>
      </c>
      <c r="D221" s="10">
        <v>1.0</v>
      </c>
      <c r="E221" s="10">
        <v>3.0</v>
      </c>
      <c r="F221" s="13"/>
      <c r="G221" s="30">
        <v>0.4406</v>
      </c>
      <c r="H221" s="10" t="s">
        <v>579</v>
      </c>
      <c r="I221" s="13"/>
    </row>
    <row r="222" ht="52.5" customHeight="1">
      <c r="A222" s="43"/>
      <c r="B222" s="43" t="s">
        <v>580</v>
      </c>
      <c r="C222" s="44" t="s">
        <v>581</v>
      </c>
      <c r="D222" s="44">
        <v>1.0</v>
      </c>
      <c r="E222" s="44">
        <v>27.0</v>
      </c>
      <c r="F222" s="45"/>
      <c r="G222" s="46" t="s">
        <v>582</v>
      </c>
      <c r="H222" s="44"/>
      <c r="I222" s="45"/>
    </row>
    <row r="223" ht="52.5" customHeight="1">
      <c r="A223" s="9"/>
      <c r="B223" s="19" t="s">
        <v>583</v>
      </c>
      <c r="C223" s="20" t="s">
        <v>126</v>
      </c>
      <c r="D223" s="10">
        <v>1.0</v>
      </c>
      <c r="E223" s="10">
        <v>5.0</v>
      </c>
      <c r="F223" s="13"/>
      <c r="G223" s="14">
        <v>0.0</v>
      </c>
      <c r="H223" s="10" t="s">
        <v>576</v>
      </c>
      <c r="I223" s="13"/>
    </row>
    <row r="224" ht="52.5" customHeight="1">
      <c r="A224" s="9"/>
      <c r="B224" s="19" t="s">
        <v>584</v>
      </c>
      <c r="C224" s="20" t="s">
        <v>131</v>
      </c>
      <c r="D224" s="10">
        <v>1.0</v>
      </c>
      <c r="E224" s="10">
        <v>6.0</v>
      </c>
      <c r="F224" s="13"/>
      <c r="G224" s="14">
        <v>0.0</v>
      </c>
      <c r="H224" s="10" t="s">
        <v>576</v>
      </c>
      <c r="I224" s="13"/>
    </row>
    <row r="225" ht="52.5" customHeight="1">
      <c r="A225" s="47"/>
      <c r="B225" s="43" t="s">
        <v>585</v>
      </c>
      <c r="C225" s="44" t="s">
        <v>586</v>
      </c>
      <c r="D225" s="44">
        <v>1.0</v>
      </c>
      <c r="E225" s="44">
        <v>2.0</v>
      </c>
      <c r="F225" s="45"/>
      <c r="G225" s="48">
        <v>3.17</v>
      </c>
      <c r="H225" s="45"/>
      <c r="I225" s="45"/>
    </row>
    <row r="226" ht="52.5" customHeight="1">
      <c r="A226" s="18"/>
      <c r="B226" s="19" t="s">
        <v>587</v>
      </c>
      <c r="C226" s="20" t="s">
        <v>120</v>
      </c>
      <c r="D226" s="10">
        <v>1.0</v>
      </c>
      <c r="E226" s="10">
        <v>1.0</v>
      </c>
      <c r="F226" s="13"/>
      <c r="G226" s="14">
        <v>0.0</v>
      </c>
      <c r="H226" s="10" t="s">
        <v>576</v>
      </c>
      <c r="I226" s="13"/>
    </row>
    <row r="227" ht="52.5" customHeight="1">
      <c r="A227" s="43"/>
      <c r="B227" s="43" t="s">
        <v>588</v>
      </c>
      <c r="C227" s="44" t="s">
        <v>589</v>
      </c>
      <c r="D227" s="44">
        <v>1.0</v>
      </c>
      <c r="E227" s="44">
        <v>0.0</v>
      </c>
      <c r="F227" s="45"/>
      <c r="G227" s="49">
        <v>0.11</v>
      </c>
      <c r="H227" s="45"/>
      <c r="I227" s="45"/>
    </row>
    <row r="228" ht="52.5" customHeight="1">
      <c r="A228" s="47"/>
      <c r="B228" s="43" t="s">
        <v>590</v>
      </c>
      <c r="C228" s="44" t="s">
        <v>591</v>
      </c>
      <c r="D228" s="44">
        <v>1.0</v>
      </c>
      <c r="E228" s="44">
        <v>14.0</v>
      </c>
      <c r="F228" s="45"/>
      <c r="G228" s="48">
        <v>1.09</v>
      </c>
      <c r="H228" s="45"/>
      <c r="I228" s="45"/>
    </row>
    <row r="229" ht="52.5" customHeight="1">
      <c r="A229" s="47"/>
      <c r="B229" s="43" t="s">
        <v>592</v>
      </c>
      <c r="C229" s="44" t="s">
        <v>593</v>
      </c>
      <c r="D229" s="44">
        <v>1.0</v>
      </c>
      <c r="E229" s="44">
        <v>0.0</v>
      </c>
      <c r="F229" s="45"/>
      <c r="G229" s="48">
        <v>0.34</v>
      </c>
      <c r="H229" s="45"/>
      <c r="I229" s="45"/>
    </row>
    <row r="230" ht="52.5" customHeight="1">
      <c r="A230" s="47"/>
      <c r="B230" s="43" t="s">
        <v>594</v>
      </c>
      <c r="C230" s="44" t="s">
        <v>595</v>
      </c>
      <c r="D230" s="44">
        <v>1.0</v>
      </c>
      <c r="E230" s="44">
        <v>0.0</v>
      </c>
      <c r="F230" s="45"/>
      <c r="G230" s="48">
        <v>0.36</v>
      </c>
      <c r="H230" s="45"/>
      <c r="I230" s="45"/>
    </row>
    <row r="231" ht="52.5" customHeight="1">
      <c r="A231" s="47"/>
      <c r="B231" s="43" t="s">
        <v>596</v>
      </c>
      <c r="C231" s="44" t="s">
        <v>597</v>
      </c>
      <c r="D231" s="44">
        <v>1.0</v>
      </c>
      <c r="E231" s="44">
        <v>6.0</v>
      </c>
      <c r="F231" s="45"/>
      <c r="G231" s="50">
        <v>11.346</v>
      </c>
      <c r="H231" s="44"/>
      <c r="I231" s="45"/>
    </row>
    <row r="232" ht="52.5" customHeight="1">
      <c r="A232" s="18"/>
      <c r="B232" s="19" t="s">
        <v>598</v>
      </c>
      <c r="C232" s="20" t="s">
        <v>599</v>
      </c>
      <c r="D232" s="10">
        <v>1.0</v>
      </c>
      <c r="E232" s="10">
        <v>0.0</v>
      </c>
      <c r="F232" s="13"/>
      <c r="G232" s="30">
        <v>0.2984</v>
      </c>
      <c r="H232" s="10" t="s">
        <v>579</v>
      </c>
      <c r="I232" s="13"/>
    </row>
    <row r="233" ht="52.5" customHeight="1">
      <c r="A233" s="18"/>
      <c r="B233" s="19" t="s">
        <v>600</v>
      </c>
      <c r="C233" s="20" t="s">
        <v>114</v>
      </c>
      <c r="D233" s="10">
        <v>1.0</v>
      </c>
      <c r="E233" s="10">
        <v>5.0</v>
      </c>
      <c r="F233" s="13"/>
      <c r="G233" s="14">
        <v>0.0</v>
      </c>
      <c r="H233" s="10" t="s">
        <v>576</v>
      </c>
      <c r="I233" s="13"/>
    </row>
    <row r="234" ht="52.5" customHeight="1">
      <c r="A234" s="18"/>
      <c r="B234" s="19" t="s">
        <v>601</v>
      </c>
      <c r="C234" s="20" t="s">
        <v>602</v>
      </c>
      <c r="D234" s="10">
        <v>1.0</v>
      </c>
      <c r="E234" s="10">
        <v>7.0</v>
      </c>
      <c r="F234" s="13"/>
      <c r="G234" s="14">
        <v>0.0</v>
      </c>
      <c r="H234" s="10" t="s">
        <v>576</v>
      </c>
      <c r="I234" s="13"/>
    </row>
    <row r="235" ht="52.5" customHeight="1">
      <c r="A235" s="18"/>
      <c r="B235" s="19" t="s">
        <v>603</v>
      </c>
      <c r="C235" s="20" t="s">
        <v>604</v>
      </c>
      <c r="D235" s="10">
        <v>1.0</v>
      </c>
      <c r="E235" s="10">
        <v>95.0</v>
      </c>
      <c r="F235" s="23"/>
      <c r="G235" s="23">
        <v>1.09</v>
      </c>
      <c r="H235" s="10" t="s">
        <v>579</v>
      </c>
      <c r="I235" s="13"/>
    </row>
    <row r="236" ht="52.5" customHeight="1">
      <c r="A236" s="18"/>
      <c r="B236" s="19" t="s">
        <v>605</v>
      </c>
      <c r="C236" s="20" t="s">
        <v>606</v>
      </c>
      <c r="D236" s="10">
        <v>1.0</v>
      </c>
      <c r="E236" s="10">
        <v>0.0</v>
      </c>
      <c r="F236" s="23"/>
      <c r="G236" s="23">
        <v>1.12</v>
      </c>
      <c r="H236" s="10" t="s">
        <v>579</v>
      </c>
      <c r="I236" s="13"/>
    </row>
    <row r="237" ht="52.5" customHeight="1">
      <c r="A237" s="18"/>
      <c r="B237" s="19" t="s">
        <v>607</v>
      </c>
      <c r="C237" s="20" t="s">
        <v>608</v>
      </c>
      <c r="D237" s="10">
        <v>1.0</v>
      </c>
      <c r="E237" s="10">
        <v>79.0</v>
      </c>
      <c r="F237" s="23"/>
      <c r="G237" s="23">
        <v>0.8364</v>
      </c>
      <c r="H237" s="10" t="s">
        <v>579</v>
      </c>
      <c r="I237" s="13"/>
    </row>
    <row r="238" ht="52.5" customHeight="1">
      <c r="A238" s="18"/>
      <c r="B238" s="19" t="s">
        <v>609</v>
      </c>
      <c r="C238" s="20" t="s">
        <v>610</v>
      </c>
      <c r="D238" s="10">
        <v>1.0</v>
      </c>
      <c r="E238" s="10">
        <v>0.0</v>
      </c>
      <c r="F238" s="23"/>
      <c r="G238" s="23">
        <v>0.9888</v>
      </c>
      <c r="H238" s="10" t="s">
        <v>579</v>
      </c>
      <c r="I238" s="13"/>
    </row>
    <row r="239" ht="52.5" customHeight="1">
      <c r="A239" s="18"/>
      <c r="B239" s="19" t="s">
        <v>611</v>
      </c>
      <c r="C239" s="20" t="s">
        <v>612</v>
      </c>
      <c r="D239" s="10">
        <v>1.0</v>
      </c>
      <c r="E239" s="10">
        <v>2.0</v>
      </c>
      <c r="F239" s="13"/>
      <c r="G239" s="14">
        <v>0.0</v>
      </c>
      <c r="H239" s="10" t="s">
        <v>576</v>
      </c>
      <c r="I239" s="13"/>
    </row>
    <row r="240" ht="52.5" customHeight="1">
      <c r="A240" s="18"/>
      <c r="B240" s="19" t="s">
        <v>613</v>
      </c>
      <c r="C240" s="20" t="s">
        <v>108</v>
      </c>
      <c r="D240" s="10">
        <v>1.0</v>
      </c>
      <c r="E240" s="10">
        <v>2.0</v>
      </c>
      <c r="F240" s="13"/>
      <c r="G240" s="14">
        <v>0.0</v>
      </c>
      <c r="H240" s="10" t="s">
        <v>576</v>
      </c>
      <c r="I240" s="13"/>
    </row>
    <row r="241" ht="52.5" customHeight="1">
      <c r="A241" s="18"/>
      <c r="B241" s="19" t="s">
        <v>614</v>
      </c>
      <c r="C241" s="20" t="s">
        <v>111</v>
      </c>
      <c r="D241" s="10">
        <v>1.0</v>
      </c>
      <c r="E241" s="10">
        <v>1.0</v>
      </c>
      <c r="F241" s="13"/>
      <c r="G241" s="14">
        <v>0.0</v>
      </c>
      <c r="H241" s="10">
        <v>1.0</v>
      </c>
      <c r="I241" s="13"/>
    </row>
    <row r="242" ht="52.5" customHeight="1">
      <c r="A242" s="18"/>
      <c r="B242" s="19" t="s">
        <v>615</v>
      </c>
      <c r="C242" s="20" t="s">
        <v>616</v>
      </c>
      <c r="D242" s="10">
        <v>1.0</v>
      </c>
      <c r="E242" s="10">
        <v>11.0</v>
      </c>
      <c r="F242" s="13"/>
      <c r="G242" s="15" t="s">
        <v>617</v>
      </c>
      <c r="H242" s="10" t="s">
        <v>579</v>
      </c>
      <c r="I242" s="13"/>
    </row>
    <row r="243" ht="52.5" customHeight="1">
      <c r="A243" s="18"/>
      <c r="B243" s="19" t="s">
        <v>101</v>
      </c>
      <c r="C243" s="20" t="s">
        <v>102</v>
      </c>
      <c r="D243" s="10">
        <v>1.0</v>
      </c>
      <c r="E243" s="10">
        <v>100.0</v>
      </c>
      <c r="F243" s="13"/>
      <c r="G243" s="14">
        <v>0.0</v>
      </c>
      <c r="H243" s="10" t="s">
        <v>576</v>
      </c>
      <c r="I243" s="13"/>
    </row>
    <row r="244" ht="52.5" customHeight="1">
      <c r="A244" s="18"/>
      <c r="B244" s="19" t="s">
        <v>618</v>
      </c>
      <c r="C244" s="20" t="s">
        <v>619</v>
      </c>
      <c r="D244" s="10">
        <v>1.0</v>
      </c>
      <c r="E244" s="10">
        <v>25.0</v>
      </c>
      <c r="F244" s="13"/>
      <c r="G244" s="15" t="s">
        <v>620</v>
      </c>
      <c r="H244" s="10" t="s">
        <v>579</v>
      </c>
      <c r="I244" s="13"/>
    </row>
    <row r="245" ht="52.5" customHeight="1">
      <c r="A245" s="47"/>
      <c r="B245" s="43" t="s">
        <v>621</v>
      </c>
      <c r="C245" s="44" t="s">
        <v>622</v>
      </c>
      <c r="D245" s="44">
        <v>1.0</v>
      </c>
      <c r="E245" s="44">
        <v>19.0</v>
      </c>
      <c r="F245" s="45"/>
      <c r="G245" s="51">
        <v>0.28248</v>
      </c>
      <c r="H245" s="45"/>
      <c r="I245" s="45"/>
    </row>
    <row r="246" ht="52.5" customHeight="1">
      <c r="A246" s="18"/>
      <c r="B246" s="19" t="s">
        <v>623</v>
      </c>
      <c r="C246" s="20" t="s">
        <v>98</v>
      </c>
      <c r="D246" s="10">
        <v>1.0</v>
      </c>
      <c r="E246" s="10">
        <v>6.0</v>
      </c>
      <c r="F246" s="13"/>
      <c r="G246" s="14">
        <v>0.0</v>
      </c>
      <c r="H246" s="10" t="s">
        <v>576</v>
      </c>
      <c r="I246" s="13"/>
    </row>
    <row r="247" ht="52.5" customHeight="1">
      <c r="A247" s="18"/>
      <c r="B247" s="19" t="s">
        <v>624</v>
      </c>
      <c r="C247" s="20" t="s">
        <v>95</v>
      </c>
      <c r="D247" s="10">
        <v>1.0</v>
      </c>
      <c r="E247" s="10">
        <v>2.0</v>
      </c>
      <c r="F247" s="13"/>
      <c r="G247" s="14">
        <v>0.0</v>
      </c>
      <c r="H247" s="10" t="s">
        <v>576</v>
      </c>
      <c r="I247" s="13"/>
    </row>
    <row r="248" ht="52.5" customHeight="1">
      <c r="A248" s="47"/>
      <c r="B248" s="43" t="s">
        <v>625</v>
      </c>
      <c r="C248" s="44" t="s">
        <v>626</v>
      </c>
      <c r="D248" s="44">
        <v>1.0</v>
      </c>
      <c r="E248" s="44">
        <v>3.0</v>
      </c>
      <c r="F248" s="45"/>
      <c r="G248" s="48">
        <v>0.12</v>
      </c>
      <c r="H248" s="45"/>
      <c r="I248" s="45"/>
    </row>
    <row r="249" ht="52.5" customHeight="1">
      <c r="A249" s="18"/>
      <c r="B249" s="19" t="s">
        <v>627</v>
      </c>
      <c r="C249" s="20" t="s">
        <v>628</v>
      </c>
      <c r="D249" s="10">
        <v>1.0</v>
      </c>
      <c r="E249" s="10">
        <v>7.0</v>
      </c>
      <c r="F249" s="13"/>
      <c r="G249" s="14">
        <v>5.37</v>
      </c>
      <c r="H249" s="13"/>
      <c r="I249" s="13"/>
    </row>
    <row r="250" ht="52.5" customHeight="1">
      <c r="A250" s="18"/>
      <c r="B250" s="19" t="s">
        <v>629</v>
      </c>
      <c r="C250" s="20" t="s">
        <v>630</v>
      </c>
      <c r="D250" s="10">
        <v>1.0</v>
      </c>
      <c r="E250" s="10">
        <v>42.0</v>
      </c>
      <c r="F250" s="13"/>
      <c r="G250" s="14">
        <v>4.679</v>
      </c>
      <c r="H250" s="10" t="s">
        <v>579</v>
      </c>
      <c r="I250" s="13"/>
    </row>
    <row r="251" ht="52.5" customHeight="1">
      <c r="A251" s="18"/>
      <c r="B251" s="19" t="s">
        <v>631</v>
      </c>
      <c r="C251" s="20" t="s">
        <v>632</v>
      </c>
      <c r="D251" s="10">
        <v>1.0</v>
      </c>
      <c r="E251" s="10">
        <v>50.0</v>
      </c>
      <c r="F251" s="13"/>
      <c r="G251" s="14">
        <v>3.416</v>
      </c>
      <c r="H251" s="10" t="s">
        <v>579</v>
      </c>
      <c r="I251" s="13"/>
    </row>
    <row r="252" ht="52.5" customHeight="1">
      <c r="A252" s="47"/>
      <c r="B252" s="43" t="s">
        <v>633</v>
      </c>
      <c r="C252" s="44" t="s">
        <v>634</v>
      </c>
      <c r="D252" s="44">
        <v>1.0</v>
      </c>
      <c r="E252" s="44">
        <v>10.0</v>
      </c>
      <c r="F252" s="45"/>
      <c r="G252" s="51">
        <v>0.298</v>
      </c>
      <c r="H252" s="45"/>
      <c r="I252" s="45"/>
    </row>
    <row r="253" ht="52.5" customHeight="1">
      <c r="A253" s="18"/>
      <c r="B253" s="19" t="s">
        <v>635</v>
      </c>
      <c r="C253" s="20" t="s">
        <v>92</v>
      </c>
      <c r="D253" s="10">
        <v>1.0</v>
      </c>
      <c r="E253" s="10">
        <v>43.0</v>
      </c>
      <c r="F253" s="13"/>
      <c r="G253" s="14">
        <v>0.0</v>
      </c>
      <c r="H253" s="10" t="s">
        <v>579</v>
      </c>
      <c r="I253" s="13"/>
    </row>
    <row r="254" ht="52.5" customHeight="1">
      <c r="A254" s="18"/>
      <c r="B254" s="19" t="s">
        <v>636</v>
      </c>
      <c r="C254" s="20" t="s">
        <v>637</v>
      </c>
      <c r="D254" s="10">
        <v>1.0</v>
      </c>
      <c r="E254" s="10">
        <v>50.0</v>
      </c>
      <c r="F254" s="13"/>
      <c r="G254" s="14">
        <v>0.9584</v>
      </c>
      <c r="H254" s="10" t="s">
        <v>579</v>
      </c>
      <c r="I254" s="13"/>
    </row>
    <row r="255" ht="52.5" customHeight="1">
      <c r="A255" s="18"/>
      <c r="B255" s="19" t="s">
        <v>638</v>
      </c>
      <c r="C255" s="20" t="s">
        <v>639</v>
      </c>
      <c r="D255" s="10">
        <v>1.0</v>
      </c>
      <c r="E255" s="10">
        <v>0.0</v>
      </c>
      <c r="F255" s="13"/>
      <c r="G255" s="14">
        <v>5.12</v>
      </c>
      <c r="H255" s="10" t="s">
        <v>579</v>
      </c>
      <c r="I255" s="13"/>
    </row>
    <row r="256" ht="52.5" customHeight="1">
      <c r="A256" s="18"/>
      <c r="B256" s="19" t="s">
        <v>640</v>
      </c>
      <c r="C256" s="20" t="s">
        <v>641</v>
      </c>
      <c r="D256" s="10">
        <v>1.0</v>
      </c>
      <c r="E256" s="10">
        <v>30.0</v>
      </c>
      <c r="F256" s="13"/>
      <c r="G256" s="14">
        <v>0.2223</v>
      </c>
      <c r="H256" s="10">
        <v>1.0</v>
      </c>
      <c r="I256" s="13"/>
    </row>
    <row r="257" ht="52.5" customHeight="1">
      <c r="A257" s="18"/>
      <c r="B257" s="19" t="s">
        <v>642</v>
      </c>
      <c r="C257" s="20" t="s">
        <v>643</v>
      </c>
      <c r="D257" s="10">
        <v>1.0</v>
      </c>
      <c r="E257" s="10">
        <v>95.0</v>
      </c>
      <c r="F257" s="13"/>
      <c r="G257" s="10" t="s">
        <v>644</v>
      </c>
      <c r="H257" s="10" t="s">
        <v>579</v>
      </c>
      <c r="I257" s="13"/>
    </row>
    <row r="258" ht="52.5" customHeight="1">
      <c r="A258" s="18"/>
      <c r="B258" s="19" t="s">
        <v>645</v>
      </c>
      <c r="C258" s="20" t="s">
        <v>646</v>
      </c>
      <c r="D258" s="10">
        <v>1.0</v>
      </c>
      <c r="E258" s="10">
        <v>9.0</v>
      </c>
      <c r="F258" s="13"/>
      <c r="G258" s="14">
        <v>21.301</v>
      </c>
      <c r="H258" s="10" t="s">
        <v>579</v>
      </c>
      <c r="I258" s="13"/>
    </row>
    <row r="259" ht="52.5" customHeight="1">
      <c r="A259" s="18"/>
      <c r="B259" s="19" t="s">
        <v>647</v>
      </c>
      <c r="C259" s="20" t="s">
        <v>83</v>
      </c>
      <c r="D259" s="10">
        <v>1.0</v>
      </c>
      <c r="E259" s="10">
        <v>17.0</v>
      </c>
      <c r="F259" s="13"/>
      <c r="G259" s="14">
        <v>0.0</v>
      </c>
      <c r="H259" s="13"/>
      <c r="I259" s="13"/>
    </row>
    <row r="260" ht="52.5" customHeight="1">
      <c r="A260" s="18"/>
      <c r="B260" s="19" t="s">
        <v>648</v>
      </c>
      <c r="C260" s="20" t="s">
        <v>86</v>
      </c>
      <c r="D260" s="10">
        <v>1.0</v>
      </c>
      <c r="E260" s="10">
        <v>78.0</v>
      </c>
      <c r="F260" s="13"/>
      <c r="G260" s="14">
        <v>0.0</v>
      </c>
      <c r="H260" s="13"/>
      <c r="I260" s="13"/>
    </row>
    <row r="261" ht="52.5" customHeight="1">
      <c r="A261" s="18"/>
      <c r="B261" s="19" t="s">
        <v>649</v>
      </c>
      <c r="C261" s="20" t="s">
        <v>89</v>
      </c>
      <c r="D261" s="10">
        <v>1.0</v>
      </c>
      <c r="E261" s="10">
        <v>2.0</v>
      </c>
      <c r="F261" s="13"/>
      <c r="G261" s="14">
        <v>0.0</v>
      </c>
      <c r="H261" s="10">
        <v>1.0</v>
      </c>
      <c r="I261" s="13"/>
    </row>
    <row r="262" ht="52.5" customHeight="1">
      <c r="A262" s="18"/>
      <c r="B262" s="19" t="s">
        <v>650</v>
      </c>
      <c r="C262" s="20" t="s">
        <v>651</v>
      </c>
      <c r="D262" s="10">
        <v>1.0</v>
      </c>
      <c r="E262" s="10">
        <v>0.0</v>
      </c>
      <c r="F262" s="13"/>
      <c r="G262" s="14">
        <v>352.75</v>
      </c>
      <c r="H262" s="10" t="s">
        <v>579</v>
      </c>
      <c r="I262" s="13"/>
    </row>
    <row r="263" ht="52.5" customHeight="1">
      <c r="A263" s="18"/>
      <c r="B263" s="19" t="s">
        <v>652</v>
      </c>
      <c r="C263" s="20" t="s">
        <v>653</v>
      </c>
      <c r="D263" s="10">
        <v>1.0</v>
      </c>
      <c r="E263" s="10">
        <v>25.0</v>
      </c>
      <c r="F263" s="13"/>
      <c r="G263" s="14">
        <v>5.488</v>
      </c>
      <c r="H263" s="10" t="s">
        <v>579</v>
      </c>
      <c r="I263" s="13"/>
    </row>
    <row r="264" ht="52.5" customHeight="1">
      <c r="A264" s="47"/>
      <c r="B264" s="43" t="s">
        <v>654</v>
      </c>
      <c r="C264" s="44" t="s">
        <v>655</v>
      </c>
      <c r="D264" s="44">
        <v>1.0</v>
      </c>
      <c r="E264" s="44">
        <v>6.0</v>
      </c>
      <c r="F264" s="45"/>
      <c r="G264" s="48">
        <v>1.72</v>
      </c>
      <c r="H264" s="45"/>
      <c r="I264" s="45"/>
    </row>
    <row r="265" ht="52.5" customHeight="1">
      <c r="A265" s="18"/>
      <c r="B265" s="19" t="s">
        <v>656</v>
      </c>
      <c r="C265" s="20" t="s">
        <v>657</v>
      </c>
      <c r="D265" s="10">
        <v>1.0</v>
      </c>
      <c r="E265" s="10">
        <v>3.0</v>
      </c>
      <c r="F265" s="13"/>
      <c r="G265" s="14">
        <v>6.98</v>
      </c>
      <c r="H265" s="10" t="s">
        <v>579</v>
      </c>
      <c r="I265" s="13"/>
    </row>
    <row r="266" ht="52.5" customHeight="1">
      <c r="A266" s="18"/>
      <c r="B266" s="19" t="s">
        <v>658</v>
      </c>
      <c r="C266" s="20" t="s">
        <v>659</v>
      </c>
      <c r="D266" s="10">
        <v>1.0</v>
      </c>
      <c r="E266" s="10">
        <v>24.0</v>
      </c>
      <c r="F266" s="13"/>
      <c r="G266" s="10" t="s">
        <v>660</v>
      </c>
      <c r="H266" s="10" t="s">
        <v>579</v>
      </c>
      <c r="I266" s="13"/>
    </row>
    <row r="267" ht="52.5" customHeight="1">
      <c r="A267" s="18"/>
      <c r="B267" s="19" t="s">
        <v>78</v>
      </c>
      <c r="C267" s="20" t="s">
        <v>79</v>
      </c>
      <c r="D267" s="10">
        <v>1.0</v>
      </c>
      <c r="E267" s="10">
        <v>10.0</v>
      </c>
      <c r="F267" s="13"/>
      <c r="G267" s="14">
        <v>0.0</v>
      </c>
      <c r="H267" s="10">
        <v>1.0</v>
      </c>
      <c r="I267" s="13"/>
    </row>
    <row r="268" ht="52.5" customHeight="1">
      <c r="A268" s="18"/>
      <c r="B268" s="19" t="s">
        <v>661</v>
      </c>
      <c r="C268" s="20" t="s">
        <v>662</v>
      </c>
      <c r="D268" s="10">
        <v>1.0</v>
      </c>
      <c r="E268" s="10">
        <v>21.0</v>
      </c>
      <c r="F268" s="13"/>
      <c r="G268" s="14">
        <v>5.86</v>
      </c>
      <c r="H268" s="10" t="s">
        <v>663</v>
      </c>
      <c r="I268" s="13"/>
    </row>
    <row r="269" ht="52.5" customHeight="1">
      <c r="A269" s="9"/>
      <c r="B269" s="19" t="s">
        <v>664</v>
      </c>
      <c r="C269" s="20" t="s">
        <v>665</v>
      </c>
      <c r="D269" s="10">
        <v>1.0</v>
      </c>
      <c r="E269" s="10">
        <v>27.0</v>
      </c>
      <c r="F269" s="13"/>
      <c r="G269" s="10" t="s">
        <v>666</v>
      </c>
      <c r="H269" s="10" t="s">
        <v>667</v>
      </c>
      <c r="I269" s="13"/>
    </row>
    <row r="270" ht="52.5" customHeight="1">
      <c r="A270" s="18"/>
      <c r="B270" s="19" t="s">
        <v>668</v>
      </c>
      <c r="C270" s="20" t="s">
        <v>669</v>
      </c>
      <c r="D270" s="10">
        <v>1.0</v>
      </c>
      <c r="E270" s="10">
        <v>50.0</v>
      </c>
      <c r="F270" s="10"/>
      <c r="G270" s="14">
        <v>0.3696</v>
      </c>
      <c r="H270" s="10" t="s">
        <v>579</v>
      </c>
      <c r="I270" s="13"/>
    </row>
    <row r="271" ht="52.5" customHeight="1">
      <c r="A271" s="18"/>
      <c r="B271" s="19" t="s">
        <v>670</v>
      </c>
      <c r="C271" s="20" t="s">
        <v>671</v>
      </c>
      <c r="D271" s="10">
        <v>1.0</v>
      </c>
      <c r="E271" s="10">
        <v>101.0</v>
      </c>
      <c r="F271" s="13"/>
      <c r="G271" s="14">
        <v>1.2472</v>
      </c>
      <c r="H271" s="10" t="s">
        <v>579</v>
      </c>
      <c r="I271" s="13"/>
    </row>
    <row r="272" ht="52.5" customHeight="1">
      <c r="A272" s="18"/>
      <c r="B272" s="19" t="s">
        <v>672</v>
      </c>
      <c r="C272" s="20" t="s">
        <v>75</v>
      </c>
      <c r="D272" s="10">
        <v>1.0</v>
      </c>
      <c r="E272" s="10">
        <v>20.0</v>
      </c>
      <c r="F272" s="13"/>
      <c r="G272" s="14">
        <v>0.0</v>
      </c>
      <c r="H272" s="10">
        <v>1.0</v>
      </c>
      <c r="I272" s="13"/>
    </row>
    <row r="273" ht="52.5" customHeight="1">
      <c r="A273" s="18"/>
      <c r="B273" s="19" t="s">
        <v>673</v>
      </c>
      <c r="C273" s="20" t="s">
        <v>73</v>
      </c>
      <c r="D273" s="10">
        <v>1.0</v>
      </c>
      <c r="E273" s="10">
        <v>25.0</v>
      </c>
      <c r="F273" s="13"/>
      <c r="G273" s="14">
        <v>0.0</v>
      </c>
      <c r="H273" s="10" t="s">
        <v>576</v>
      </c>
      <c r="I273" s="13"/>
    </row>
    <row r="274" ht="52.5" customHeight="1">
      <c r="A274" s="18"/>
      <c r="B274" s="19" t="s">
        <v>674</v>
      </c>
      <c r="C274" s="20" t="s">
        <v>675</v>
      </c>
      <c r="D274" s="10">
        <v>1.0</v>
      </c>
      <c r="E274" s="10">
        <v>72.0</v>
      </c>
      <c r="F274" s="13"/>
      <c r="G274" s="14">
        <v>0.48</v>
      </c>
      <c r="H274" s="10" t="s">
        <v>576</v>
      </c>
      <c r="I274" s="13"/>
    </row>
    <row r="275" ht="52.5" customHeight="1">
      <c r="A275" s="18"/>
      <c r="B275" s="19" t="s">
        <v>676</v>
      </c>
      <c r="C275" s="20" t="s">
        <v>67</v>
      </c>
      <c r="D275" s="10">
        <v>1.0</v>
      </c>
      <c r="E275" s="10">
        <v>20.0</v>
      </c>
      <c r="F275" s="13"/>
      <c r="G275" s="14">
        <v>0.0</v>
      </c>
      <c r="H275" s="10" t="s">
        <v>576</v>
      </c>
      <c r="I275" s="13"/>
    </row>
    <row r="276" ht="52.5" customHeight="1">
      <c r="A276" s="18"/>
      <c r="B276" s="19" t="s">
        <v>677</v>
      </c>
      <c r="C276" s="20" t="s">
        <v>63</v>
      </c>
      <c r="D276" s="10">
        <v>1.0</v>
      </c>
      <c r="E276" s="10">
        <v>10.0</v>
      </c>
      <c r="F276" s="13"/>
      <c r="G276" s="14">
        <v>0.0</v>
      </c>
      <c r="H276" s="10" t="s">
        <v>576</v>
      </c>
      <c r="I276" s="13"/>
    </row>
    <row r="277" ht="52.5" customHeight="1">
      <c r="A277" s="18"/>
      <c r="B277" s="19" t="s">
        <v>678</v>
      </c>
      <c r="C277" s="20" t="s">
        <v>60</v>
      </c>
      <c r="D277" s="10">
        <v>1.0</v>
      </c>
      <c r="E277" s="10">
        <v>1.0</v>
      </c>
      <c r="F277" s="13"/>
      <c r="G277" s="14">
        <v>0.0</v>
      </c>
      <c r="H277" s="10" t="s">
        <v>576</v>
      </c>
      <c r="I277" s="13"/>
    </row>
    <row r="278" ht="52.5" customHeight="1">
      <c r="A278" s="9"/>
      <c r="B278" s="19" t="s">
        <v>679</v>
      </c>
      <c r="C278" s="20" t="s">
        <v>680</v>
      </c>
      <c r="D278" s="10">
        <v>1.0</v>
      </c>
      <c r="E278" s="10">
        <v>56.0</v>
      </c>
      <c r="F278" s="13"/>
      <c r="G278" s="14">
        <v>0.3092</v>
      </c>
      <c r="H278" s="13"/>
      <c r="I278" s="13"/>
    </row>
    <row r="279" ht="52.5" customHeight="1">
      <c r="A279" s="9"/>
      <c r="B279" s="19" t="s">
        <v>181</v>
      </c>
      <c r="C279" s="20" t="s">
        <v>186</v>
      </c>
      <c r="D279" s="10">
        <v>10.0</v>
      </c>
      <c r="E279" s="10">
        <v>82.0</v>
      </c>
      <c r="F279" s="13"/>
      <c r="G279" s="14">
        <v>0.7142</v>
      </c>
      <c r="H279" s="13"/>
      <c r="I279" s="13"/>
    </row>
    <row r="280" ht="52.5" customHeight="1">
      <c r="A280" s="9"/>
      <c r="B280" s="19" t="s">
        <v>151</v>
      </c>
      <c r="C280" s="20" t="s">
        <v>153</v>
      </c>
      <c r="D280" s="10">
        <v>10.0</v>
      </c>
      <c r="E280" s="10">
        <v>53.0</v>
      </c>
      <c r="F280" s="13"/>
      <c r="G280" s="14">
        <v>0.88</v>
      </c>
      <c r="H280" s="13"/>
      <c r="I280" s="13"/>
    </row>
    <row r="281" ht="52.5" customHeight="1">
      <c r="A281" s="9"/>
      <c r="B281" s="19" t="s">
        <v>681</v>
      </c>
      <c r="C281" s="20" t="s">
        <v>682</v>
      </c>
      <c r="D281" s="10">
        <v>1.0</v>
      </c>
      <c r="E281" s="10">
        <v>31.0</v>
      </c>
      <c r="F281" s="13"/>
      <c r="G281" s="14">
        <v>1.79</v>
      </c>
      <c r="H281" s="13"/>
      <c r="I281" s="13"/>
    </row>
    <row r="282" ht="52.5" customHeight="1">
      <c r="A282" s="9"/>
      <c r="B282" s="19" t="s">
        <v>683</v>
      </c>
      <c r="C282" s="20" t="s">
        <v>684</v>
      </c>
      <c r="D282" s="10">
        <v>1.0</v>
      </c>
      <c r="E282" s="10">
        <v>11.0</v>
      </c>
      <c r="F282" s="13"/>
      <c r="G282" s="14">
        <v>1.79</v>
      </c>
      <c r="H282" s="13"/>
      <c r="I282" s="13"/>
    </row>
    <row r="283" ht="52.5" customHeight="1">
      <c r="A283" s="9"/>
      <c r="B283" s="19" t="s">
        <v>169</v>
      </c>
      <c r="C283" s="20" t="s">
        <v>171</v>
      </c>
      <c r="D283" s="10">
        <v>10.0</v>
      </c>
      <c r="E283" s="10">
        <v>16.0</v>
      </c>
      <c r="F283" s="13"/>
      <c r="G283" s="14" t="s">
        <v>685</v>
      </c>
      <c r="H283" s="13"/>
      <c r="I283" s="13"/>
    </row>
    <row r="284" ht="52.5" customHeight="1">
      <c r="A284" s="9"/>
      <c r="B284" s="19" t="s">
        <v>686</v>
      </c>
      <c r="C284" s="20" t="s">
        <v>687</v>
      </c>
      <c r="D284" s="10">
        <v>1.0</v>
      </c>
      <c r="E284" s="10">
        <v>6.0</v>
      </c>
      <c r="F284" s="13"/>
      <c r="G284" s="14">
        <v>0.4</v>
      </c>
      <c r="H284" s="13"/>
      <c r="I284" s="13"/>
    </row>
    <row r="285" ht="52.5" customHeight="1">
      <c r="A285" s="9"/>
      <c r="B285" s="19" t="s">
        <v>688</v>
      </c>
      <c r="C285" s="20" t="s">
        <v>689</v>
      </c>
      <c r="D285" s="10">
        <v>1.0</v>
      </c>
      <c r="E285" s="10">
        <v>5.0</v>
      </c>
      <c r="F285" s="13"/>
      <c r="G285" s="14">
        <v>3.8</v>
      </c>
      <c r="H285" s="13"/>
      <c r="I285" s="13"/>
    </row>
    <row r="286" ht="52.5" customHeight="1">
      <c r="A286" s="9"/>
      <c r="B286" s="19" t="s">
        <v>690</v>
      </c>
      <c r="C286" s="20" t="s">
        <v>691</v>
      </c>
      <c r="D286" s="10">
        <v>1.0</v>
      </c>
      <c r="E286" s="10">
        <v>3.0</v>
      </c>
      <c r="F286" s="13"/>
      <c r="G286" s="14">
        <v>1.26</v>
      </c>
      <c r="H286" s="13"/>
      <c r="I286" s="13"/>
    </row>
    <row r="287" ht="52.5" customHeight="1">
      <c r="A287" s="9"/>
      <c r="B287" s="19" t="s">
        <v>692</v>
      </c>
      <c r="C287" s="20" t="s">
        <v>693</v>
      </c>
      <c r="D287" s="10">
        <v>1.0</v>
      </c>
      <c r="E287" s="10">
        <v>1.0</v>
      </c>
      <c r="F287" s="13"/>
      <c r="G287" s="14">
        <v>1.43</v>
      </c>
      <c r="H287" s="13"/>
      <c r="I287" s="13"/>
    </row>
    <row r="288" ht="52.5" customHeight="1">
      <c r="A288" s="9"/>
      <c r="B288" s="19" t="s">
        <v>694</v>
      </c>
      <c r="C288" s="20" t="s">
        <v>695</v>
      </c>
      <c r="D288" s="10">
        <v>1.0</v>
      </c>
      <c r="E288" s="10">
        <v>16.0</v>
      </c>
      <c r="F288" s="13"/>
      <c r="G288" s="14">
        <v>1.23</v>
      </c>
      <c r="H288" s="13"/>
      <c r="I288" s="13"/>
    </row>
    <row r="289" ht="52.5" customHeight="1">
      <c r="A289" s="9"/>
      <c r="B289" s="19" t="s">
        <v>696</v>
      </c>
      <c r="C289" s="52" t="s">
        <v>697</v>
      </c>
      <c r="D289" s="10">
        <v>1.0</v>
      </c>
      <c r="E289" s="10">
        <v>50.0</v>
      </c>
      <c r="F289" s="13"/>
      <c r="G289" s="14">
        <v>1.07</v>
      </c>
      <c r="H289" s="13"/>
      <c r="I289" s="13"/>
    </row>
    <row r="290" ht="52.5" customHeight="1">
      <c r="A290" s="9"/>
      <c r="B290" s="9" t="s">
        <v>698</v>
      </c>
      <c r="C290" s="10" t="s">
        <v>699</v>
      </c>
      <c r="D290" s="10">
        <v>1.0</v>
      </c>
      <c r="E290" s="10">
        <v>4.0</v>
      </c>
      <c r="F290" s="13"/>
      <c r="G290" s="15"/>
      <c r="H290" s="13"/>
      <c r="I290" s="13"/>
    </row>
    <row r="291" ht="52.5" customHeight="1">
      <c r="A291" s="9"/>
      <c r="B291" s="9" t="s">
        <v>700</v>
      </c>
      <c r="C291" s="10" t="s">
        <v>701</v>
      </c>
      <c r="D291" s="10">
        <v>1.0</v>
      </c>
      <c r="E291" s="10">
        <v>0.0</v>
      </c>
      <c r="F291" s="13"/>
      <c r="G291" s="15"/>
      <c r="H291" s="13"/>
      <c r="I291" s="13"/>
    </row>
    <row r="292" ht="52.5" customHeight="1">
      <c r="A292" s="9"/>
      <c r="B292" s="19" t="s">
        <v>702</v>
      </c>
      <c r="C292" s="20" t="s">
        <v>703</v>
      </c>
      <c r="D292" s="10">
        <v>1.0</v>
      </c>
      <c r="E292" s="10">
        <v>13.0</v>
      </c>
      <c r="F292" s="13"/>
      <c r="G292" s="14">
        <v>11.0</v>
      </c>
      <c r="H292" s="13"/>
      <c r="I292" s="13"/>
    </row>
    <row r="293" ht="52.5" customHeight="1">
      <c r="A293" s="9"/>
      <c r="B293" s="19" t="s">
        <v>175</v>
      </c>
      <c r="C293" s="20" t="s">
        <v>176</v>
      </c>
      <c r="D293" s="10">
        <v>10.0</v>
      </c>
      <c r="E293" s="10">
        <v>27.0</v>
      </c>
      <c r="F293" s="13"/>
      <c r="G293" s="14">
        <v>2.18</v>
      </c>
      <c r="H293" s="13"/>
      <c r="I293" s="13"/>
    </row>
    <row r="294" ht="52.5" customHeight="1">
      <c r="A294" s="9"/>
      <c r="B294" s="19" t="s">
        <v>704</v>
      </c>
      <c r="C294" s="20" t="s">
        <v>705</v>
      </c>
      <c r="D294" s="10">
        <v>1.0</v>
      </c>
      <c r="E294" s="10">
        <v>6.0</v>
      </c>
      <c r="F294" s="13"/>
      <c r="G294" s="14">
        <v>1.5</v>
      </c>
      <c r="H294" s="13"/>
      <c r="I294" s="13"/>
    </row>
    <row r="295" ht="52.5" customHeight="1">
      <c r="A295" s="9"/>
      <c r="B295" s="19" t="s">
        <v>706</v>
      </c>
      <c r="C295" s="20" t="s">
        <v>164</v>
      </c>
      <c r="D295" s="10">
        <v>10.0</v>
      </c>
      <c r="E295" s="10">
        <v>28.0</v>
      </c>
      <c r="F295" s="13"/>
      <c r="G295" s="14">
        <v>1.83</v>
      </c>
      <c r="H295" s="13"/>
      <c r="I295" s="13"/>
    </row>
    <row r="296" ht="52.5" customHeight="1">
      <c r="A296" s="9"/>
      <c r="B296" s="19" t="s">
        <v>707</v>
      </c>
      <c r="C296" s="19" t="s">
        <v>708</v>
      </c>
      <c r="D296" s="10">
        <v>1.0</v>
      </c>
      <c r="E296" s="10">
        <v>10.0</v>
      </c>
      <c r="F296" s="13"/>
      <c r="G296" s="14">
        <v>0.8</v>
      </c>
      <c r="H296" s="13"/>
      <c r="I296" s="13"/>
    </row>
    <row r="297" ht="52.5" customHeight="1">
      <c r="A297" s="9"/>
      <c r="B297" s="19" t="s">
        <v>709</v>
      </c>
      <c r="C297" s="20" t="s">
        <v>710</v>
      </c>
      <c r="D297" s="10">
        <v>1.0</v>
      </c>
      <c r="E297" s="10">
        <v>1.0</v>
      </c>
      <c r="F297" s="10" t="s">
        <v>711</v>
      </c>
      <c r="G297" s="14">
        <v>5.1</v>
      </c>
      <c r="H297" s="13"/>
      <c r="I297" s="13"/>
    </row>
    <row r="298" ht="52.5" customHeight="1">
      <c r="A298" s="9"/>
      <c r="B298" s="19" t="s">
        <v>712</v>
      </c>
      <c r="C298" s="20" t="s">
        <v>713</v>
      </c>
      <c r="D298" s="10">
        <v>1.0</v>
      </c>
      <c r="E298" s="10">
        <v>10.0</v>
      </c>
      <c r="F298" s="13"/>
      <c r="G298" s="14">
        <v>7.45</v>
      </c>
      <c r="H298" s="13"/>
      <c r="I298" s="13"/>
    </row>
    <row r="299" ht="52.5" customHeight="1">
      <c r="A299" s="9"/>
      <c r="B299" s="19" t="s">
        <v>714</v>
      </c>
      <c r="C299" s="20" t="s">
        <v>715</v>
      </c>
      <c r="D299" s="10">
        <v>1.0</v>
      </c>
      <c r="E299" s="10">
        <v>44.0</v>
      </c>
      <c r="F299" s="13"/>
      <c r="G299" s="14">
        <v>14.93</v>
      </c>
      <c r="H299" s="13"/>
      <c r="I299" s="13"/>
    </row>
    <row r="300" ht="52.5" customHeight="1">
      <c r="A300" s="9"/>
      <c r="B300" s="19" t="s">
        <v>716</v>
      </c>
      <c r="C300" s="20" t="s">
        <v>717</v>
      </c>
      <c r="D300" s="10">
        <v>1.0</v>
      </c>
      <c r="E300" s="10">
        <v>15.0</v>
      </c>
      <c r="F300" s="13"/>
      <c r="G300" s="14">
        <v>25.54</v>
      </c>
      <c r="H300" s="13"/>
      <c r="I300" s="13"/>
    </row>
    <row r="301" ht="52.5" customHeight="1">
      <c r="A301" s="9"/>
      <c r="B301" s="19" t="s">
        <v>718</v>
      </c>
      <c r="C301" s="20" t="s">
        <v>719</v>
      </c>
      <c r="D301" s="10">
        <v>1.0</v>
      </c>
      <c r="E301" s="10">
        <v>33.0</v>
      </c>
      <c r="F301" s="13"/>
      <c r="G301" s="14">
        <v>5.66</v>
      </c>
      <c r="H301" s="13"/>
      <c r="I301" s="13"/>
    </row>
    <row r="302" ht="52.5" customHeight="1">
      <c r="A302" s="9"/>
      <c r="B302" s="19" t="s">
        <v>720</v>
      </c>
      <c r="C302" s="20" t="s">
        <v>721</v>
      </c>
      <c r="D302" s="10">
        <v>1.0</v>
      </c>
      <c r="E302" s="10">
        <v>6.0</v>
      </c>
      <c r="F302" s="13"/>
      <c r="G302" s="14">
        <v>4.8</v>
      </c>
      <c r="H302" s="13"/>
      <c r="I302" s="13"/>
    </row>
    <row r="303" ht="52.5" customHeight="1">
      <c r="A303" s="9"/>
      <c r="B303" s="19" t="s">
        <v>722</v>
      </c>
      <c r="C303" s="20" t="s">
        <v>723</v>
      </c>
      <c r="D303" s="10">
        <v>1.0</v>
      </c>
      <c r="E303" s="10">
        <v>47.0</v>
      </c>
      <c r="F303" s="13"/>
      <c r="G303" s="14">
        <v>0.58</v>
      </c>
      <c r="H303" s="13"/>
      <c r="I303" s="13"/>
    </row>
    <row r="304" ht="52.5" customHeight="1">
      <c r="A304" s="9"/>
      <c r="B304" s="19" t="s">
        <v>724</v>
      </c>
      <c r="C304" s="20" t="s">
        <v>725</v>
      </c>
      <c r="D304" s="10">
        <v>1.0</v>
      </c>
      <c r="E304" s="10">
        <v>59.0</v>
      </c>
      <c r="F304" s="13"/>
      <c r="G304" s="14">
        <v>2.7</v>
      </c>
      <c r="H304" s="13"/>
      <c r="I304" s="13"/>
    </row>
    <row r="305" ht="52.5" customHeight="1">
      <c r="A305" s="9"/>
      <c r="B305" s="19" t="s">
        <v>726</v>
      </c>
      <c r="C305" s="20" t="s">
        <v>727</v>
      </c>
      <c r="D305" s="10">
        <v>1.0</v>
      </c>
      <c r="E305" s="10">
        <v>124.0</v>
      </c>
      <c r="F305" s="13"/>
      <c r="G305" s="14">
        <v>2.7</v>
      </c>
      <c r="H305" s="13"/>
      <c r="I305" s="13"/>
    </row>
    <row r="306" ht="52.5" customHeight="1">
      <c r="A306" s="9"/>
      <c r="B306" s="19" t="s">
        <v>728</v>
      </c>
      <c r="C306" s="20" t="s">
        <v>729</v>
      </c>
      <c r="D306" s="10">
        <v>1.0</v>
      </c>
      <c r="E306" s="10">
        <v>13.0</v>
      </c>
      <c r="F306" s="13"/>
      <c r="G306" s="14">
        <v>0.76</v>
      </c>
      <c r="H306" s="13"/>
      <c r="I306" s="13"/>
    </row>
    <row r="307" ht="52.5" customHeight="1">
      <c r="A307" s="9"/>
      <c r="B307" s="19" t="s">
        <v>730</v>
      </c>
      <c r="C307" s="20" t="s">
        <v>731</v>
      </c>
      <c r="D307" s="10">
        <v>1.0</v>
      </c>
      <c r="E307" s="10">
        <v>4.0</v>
      </c>
      <c r="F307" s="13"/>
      <c r="G307" s="14">
        <v>3.8</v>
      </c>
      <c r="H307" s="13"/>
      <c r="I307" s="13"/>
    </row>
    <row r="308" ht="52.5" customHeight="1">
      <c r="A308" s="9"/>
      <c r="B308" s="19" t="s">
        <v>732</v>
      </c>
      <c r="C308" s="20" t="s">
        <v>733</v>
      </c>
      <c r="D308" s="10">
        <v>1.0</v>
      </c>
      <c r="E308" s="10">
        <v>7.0</v>
      </c>
      <c r="F308" s="13"/>
      <c r="G308" s="14">
        <v>9.04</v>
      </c>
      <c r="H308" s="13"/>
      <c r="I308" s="13"/>
    </row>
    <row r="309" ht="52.5" customHeight="1">
      <c r="A309" s="9"/>
      <c r="B309" s="19" t="s">
        <v>734</v>
      </c>
      <c r="C309" s="20" t="s">
        <v>735</v>
      </c>
      <c r="D309" s="10">
        <v>1.0</v>
      </c>
      <c r="E309" s="10">
        <v>28.0</v>
      </c>
      <c r="F309" s="13"/>
      <c r="G309" s="14">
        <v>2.4</v>
      </c>
      <c r="H309" s="13"/>
      <c r="I309" s="13"/>
    </row>
    <row r="310" ht="52.5" customHeight="1">
      <c r="A310" s="9"/>
      <c r="B310" s="19" t="s">
        <v>736</v>
      </c>
      <c r="C310" s="20" t="s">
        <v>737</v>
      </c>
      <c r="D310" s="10">
        <v>1.0</v>
      </c>
      <c r="E310" s="10">
        <v>10.0</v>
      </c>
      <c r="F310" s="13"/>
      <c r="G310" s="14">
        <v>3.0</v>
      </c>
      <c r="H310" s="13"/>
      <c r="I310" s="13"/>
    </row>
    <row r="311" ht="52.5" customHeight="1">
      <c r="A311" s="9"/>
      <c r="B311" s="19" t="s">
        <v>738</v>
      </c>
      <c r="C311" s="20" t="s">
        <v>739</v>
      </c>
      <c r="D311" s="10">
        <v>1.0</v>
      </c>
      <c r="E311" s="10">
        <v>7.0</v>
      </c>
      <c r="F311" s="13"/>
      <c r="G311" s="14">
        <v>2.75</v>
      </c>
      <c r="H311" s="13"/>
      <c r="I311" s="13"/>
    </row>
    <row r="312" ht="52.5" customHeight="1">
      <c r="A312" s="9"/>
      <c r="B312" s="19" t="s">
        <v>740</v>
      </c>
      <c r="C312" s="20" t="s">
        <v>741</v>
      </c>
      <c r="D312" s="10">
        <v>1.0</v>
      </c>
      <c r="E312" s="10">
        <v>12.0</v>
      </c>
      <c r="F312" s="13"/>
      <c r="G312" s="14">
        <v>5.2</v>
      </c>
      <c r="H312" s="13"/>
      <c r="I312" s="13"/>
    </row>
    <row r="313" ht="52.5" customHeight="1">
      <c r="A313" s="9"/>
      <c r="B313" s="19" t="s">
        <v>742</v>
      </c>
      <c r="C313" s="20" t="s">
        <v>743</v>
      </c>
      <c r="D313" s="10">
        <v>1.0</v>
      </c>
      <c r="E313" s="10">
        <v>6.0</v>
      </c>
      <c r="F313" s="13"/>
      <c r="G313" s="14">
        <v>3.54</v>
      </c>
      <c r="H313" s="13"/>
      <c r="I313" s="13"/>
    </row>
    <row r="314" ht="52.5" customHeight="1">
      <c r="A314" s="9"/>
      <c r="B314" s="19" t="s">
        <v>744</v>
      </c>
      <c r="C314" s="20" t="s">
        <v>745</v>
      </c>
      <c r="D314" s="10">
        <v>1.0</v>
      </c>
      <c r="E314" s="10">
        <v>10.0</v>
      </c>
      <c r="F314" s="13"/>
      <c r="G314" s="14">
        <v>3.42</v>
      </c>
      <c r="H314" s="13"/>
      <c r="I314" s="13"/>
    </row>
    <row r="315" ht="52.5" customHeight="1">
      <c r="A315" s="9"/>
      <c r="B315" s="19" t="s">
        <v>746</v>
      </c>
      <c r="C315" s="20" t="s">
        <v>747</v>
      </c>
      <c r="D315" s="10">
        <v>1.0</v>
      </c>
      <c r="E315" s="10">
        <v>14.0</v>
      </c>
      <c r="F315" s="13"/>
      <c r="G315" s="14">
        <v>3.24</v>
      </c>
      <c r="H315" s="13"/>
      <c r="I315" s="13"/>
    </row>
    <row r="316" ht="52.5" customHeight="1">
      <c r="A316" s="9"/>
      <c r="B316" s="19" t="s">
        <v>748</v>
      </c>
      <c r="C316" s="20" t="s">
        <v>749</v>
      </c>
      <c r="D316" s="10">
        <v>1.0</v>
      </c>
      <c r="E316" s="10">
        <v>5.0</v>
      </c>
      <c r="F316" s="13"/>
      <c r="G316" s="14">
        <v>13.49</v>
      </c>
      <c r="H316" s="13"/>
      <c r="I316" s="13"/>
    </row>
    <row r="317" ht="52.5" customHeight="1">
      <c r="A317" s="9"/>
      <c r="B317" s="19" t="s">
        <v>750</v>
      </c>
      <c r="C317" s="20" t="s">
        <v>751</v>
      </c>
      <c r="D317" s="10">
        <v>1.0</v>
      </c>
      <c r="E317" s="10">
        <v>13.0</v>
      </c>
      <c r="F317" s="13"/>
      <c r="G317" s="14">
        <v>9.84</v>
      </c>
      <c r="H317" s="13"/>
      <c r="I317" s="13"/>
    </row>
    <row r="318" ht="52.5" customHeight="1">
      <c r="A318" s="9"/>
      <c r="B318" s="19" t="s">
        <v>752</v>
      </c>
      <c r="C318" s="20" t="s">
        <v>753</v>
      </c>
      <c r="D318" s="10">
        <v>1.0</v>
      </c>
      <c r="E318" s="10">
        <v>2.0</v>
      </c>
      <c r="F318" s="13"/>
      <c r="G318" s="14">
        <v>9.84</v>
      </c>
      <c r="H318" s="13"/>
      <c r="I318" s="13"/>
    </row>
    <row r="319" ht="52.5" customHeight="1">
      <c r="A319" s="9"/>
      <c r="B319" s="19" t="s">
        <v>754</v>
      </c>
      <c r="C319" s="20" t="s">
        <v>755</v>
      </c>
      <c r="D319" s="10">
        <v>1.0</v>
      </c>
      <c r="E319" s="10">
        <v>2.0</v>
      </c>
      <c r="F319" s="13"/>
      <c r="G319" s="14">
        <v>0.53</v>
      </c>
      <c r="H319" s="13"/>
      <c r="I319" s="13"/>
    </row>
    <row r="320" ht="52.5" customHeight="1">
      <c r="A320" s="9"/>
      <c r="B320" s="19" t="s">
        <v>756</v>
      </c>
      <c r="C320" s="20" t="s">
        <v>757</v>
      </c>
      <c r="D320" s="10">
        <v>1.0</v>
      </c>
      <c r="E320" s="10">
        <v>9.0</v>
      </c>
      <c r="F320" s="13"/>
      <c r="G320" s="14">
        <v>4.95</v>
      </c>
      <c r="H320" s="13"/>
      <c r="I320" s="13"/>
    </row>
    <row r="321" ht="52.5" customHeight="1">
      <c r="A321" s="9"/>
      <c r="B321" s="19" t="s">
        <v>758</v>
      </c>
      <c r="C321" s="20" t="s">
        <v>759</v>
      </c>
      <c r="D321" s="10">
        <v>1.0</v>
      </c>
      <c r="E321" s="10">
        <v>1.0</v>
      </c>
      <c r="F321" s="10" t="s">
        <v>760</v>
      </c>
      <c r="G321" s="14">
        <v>0.07</v>
      </c>
      <c r="H321" s="13"/>
      <c r="I321" s="13"/>
    </row>
    <row r="322" ht="52.5" customHeight="1">
      <c r="A322" s="9"/>
      <c r="B322" s="19" t="s">
        <v>761</v>
      </c>
      <c r="C322" s="20" t="s">
        <v>762</v>
      </c>
      <c r="D322" s="10">
        <v>1.0</v>
      </c>
      <c r="E322" s="10">
        <v>9.0</v>
      </c>
      <c r="F322" s="13"/>
      <c r="G322" s="14">
        <v>3.81</v>
      </c>
      <c r="H322" s="13"/>
      <c r="I322" s="13"/>
    </row>
    <row r="323" ht="52.5" customHeight="1">
      <c r="A323" s="9"/>
      <c r="B323" s="19" t="s">
        <v>763</v>
      </c>
      <c r="C323" s="20" t="s">
        <v>764</v>
      </c>
      <c r="D323" s="10">
        <v>1.0</v>
      </c>
      <c r="E323" s="10">
        <v>5.0</v>
      </c>
      <c r="F323" s="13"/>
      <c r="G323" s="14">
        <v>1.63</v>
      </c>
      <c r="H323" s="13"/>
      <c r="I323" s="13"/>
    </row>
    <row r="324" ht="52.5" customHeight="1">
      <c r="A324" s="9"/>
      <c r="B324" s="19" t="s">
        <v>765</v>
      </c>
      <c r="C324" s="20" t="s">
        <v>766</v>
      </c>
      <c r="D324" s="10">
        <v>1.0</v>
      </c>
      <c r="E324" s="10">
        <v>29.0</v>
      </c>
      <c r="F324" s="13"/>
      <c r="G324" s="14">
        <v>4.1</v>
      </c>
      <c r="H324" s="13"/>
      <c r="I324" s="13"/>
    </row>
    <row r="325" ht="52.5" customHeight="1">
      <c r="A325" s="9"/>
      <c r="B325" s="19" t="s">
        <v>767</v>
      </c>
      <c r="C325" s="20" t="s">
        <v>768</v>
      </c>
      <c r="D325" s="10">
        <v>1.0</v>
      </c>
      <c r="E325" s="10">
        <v>2.0</v>
      </c>
      <c r="F325" s="10" t="s">
        <v>82</v>
      </c>
      <c r="G325" s="14">
        <v>8.43</v>
      </c>
      <c r="H325" s="13"/>
      <c r="I325" s="13"/>
    </row>
    <row r="326" ht="52.5" customHeight="1">
      <c r="A326" s="9"/>
      <c r="B326" s="19" t="s">
        <v>769</v>
      </c>
      <c r="C326" s="20" t="s">
        <v>770</v>
      </c>
      <c r="D326" s="10">
        <v>1.0</v>
      </c>
      <c r="E326" s="10">
        <v>11.0</v>
      </c>
      <c r="F326" s="10"/>
      <c r="G326" s="10" t="s">
        <v>771</v>
      </c>
      <c r="H326" s="13"/>
      <c r="I326" s="13"/>
    </row>
    <row r="327" ht="52.5" customHeight="1">
      <c r="A327" s="9"/>
      <c r="B327" s="19" t="s">
        <v>772</v>
      </c>
      <c r="C327" s="20" t="s">
        <v>773</v>
      </c>
      <c r="D327" s="10">
        <v>1.0</v>
      </c>
      <c r="E327" s="10">
        <v>12.0</v>
      </c>
      <c r="F327" s="13"/>
      <c r="G327" s="14">
        <v>7.83</v>
      </c>
      <c r="H327" s="13"/>
      <c r="I327" s="13"/>
    </row>
    <row r="328" ht="52.5" customHeight="1">
      <c r="A328" s="9"/>
      <c r="B328" s="19" t="s">
        <v>774</v>
      </c>
      <c r="C328" s="20" t="s">
        <v>775</v>
      </c>
      <c r="D328" s="10">
        <v>1.0</v>
      </c>
      <c r="E328" s="10">
        <v>20.0</v>
      </c>
      <c r="F328" s="13"/>
      <c r="G328" s="14">
        <v>6.44</v>
      </c>
      <c r="H328" s="13"/>
      <c r="I328" s="13"/>
    </row>
    <row r="329" ht="52.5" customHeight="1">
      <c r="A329" s="9"/>
      <c r="B329" s="19" t="s">
        <v>776</v>
      </c>
      <c r="C329" s="20" t="s">
        <v>777</v>
      </c>
      <c r="D329" s="10">
        <v>1.0</v>
      </c>
      <c r="E329" s="10">
        <v>600.0</v>
      </c>
      <c r="F329" s="13"/>
      <c r="G329" s="14">
        <v>0.34</v>
      </c>
      <c r="H329" s="13"/>
      <c r="I329" s="13"/>
    </row>
    <row r="330" ht="52.5" customHeight="1">
      <c r="A330" s="35"/>
      <c r="B330" s="36" t="s">
        <v>778</v>
      </c>
      <c r="C330" s="20" t="s">
        <v>779</v>
      </c>
      <c r="D330" s="10">
        <v>1.0</v>
      </c>
      <c r="E330" s="10">
        <v>9.0</v>
      </c>
      <c r="F330" s="13"/>
      <c r="G330" s="14">
        <v>1.0</v>
      </c>
      <c r="H330" s="13"/>
      <c r="I330" s="13"/>
    </row>
    <row r="331" ht="52.5" customHeight="1">
      <c r="A331" s="9"/>
      <c r="B331" s="19" t="s">
        <v>780</v>
      </c>
      <c r="C331" s="20" t="s">
        <v>781</v>
      </c>
      <c r="D331" s="10">
        <v>1.0</v>
      </c>
      <c r="E331" s="10">
        <v>12.0</v>
      </c>
      <c r="F331" s="13"/>
      <c r="G331" s="14">
        <v>2.15</v>
      </c>
      <c r="H331" s="13"/>
      <c r="I331" s="13"/>
    </row>
    <row r="332" ht="52.5" customHeight="1">
      <c r="A332" s="9"/>
      <c r="B332" s="19" t="s">
        <v>782</v>
      </c>
      <c r="C332" s="20" t="s">
        <v>783</v>
      </c>
      <c r="D332" s="10">
        <v>1.0</v>
      </c>
      <c r="E332" s="10">
        <v>50.0</v>
      </c>
      <c r="F332" s="13"/>
      <c r="G332" s="14">
        <v>1.18</v>
      </c>
      <c r="H332" s="13"/>
      <c r="I332" s="13"/>
    </row>
    <row r="333" ht="52.5" customHeight="1">
      <c r="A333" s="9"/>
      <c r="B333" s="19" t="s">
        <v>784</v>
      </c>
      <c r="C333" s="20" t="s">
        <v>785</v>
      </c>
      <c r="D333" s="10">
        <v>1.0</v>
      </c>
      <c r="E333" s="10">
        <v>50.0</v>
      </c>
      <c r="F333" s="13"/>
      <c r="G333" s="14">
        <v>1.24</v>
      </c>
      <c r="H333" s="13"/>
      <c r="I333" s="13"/>
    </row>
    <row r="334" ht="52.5" customHeight="1">
      <c r="A334" s="9"/>
      <c r="B334" s="19" t="s">
        <v>786</v>
      </c>
      <c r="C334" s="20" t="s">
        <v>787</v>
      </c>
      <c r="D334" s="10">
        <v>1.0</v>
      </c>
      <c r="E334" s="10">
        <v>500.0</v>
      </c>
      <c r="F334" s="13"/>
      <c r="G334" s="14">
        <v>0.08</v>
      </c>
      <c r="H334" s="13"/>
      <c r="I334" s="13"/>
    </row>
    <row r="335" ht="52.5" customHeight="1">
      <c r="A335" s="35"/>
      <c r="B335" s="36" t="s">
        <v>788</v>
      </c>
      <c r="C335" s="20" t="s">
        <v>789</v>
      </c>
      <c r="D335" s="10">
        <v>1.0</v>
      </c>
      <c r="E335" s="10">
        <v>85.0</v>
      </c>
      <c r="F335" s="10" t="s">
        <v>790</v>
      </c>
      <c r="G335" s="14">
        <v>17.76</v>
      </c>
      <c r="H335" s="13"/>
      <c r="I335" s="13"/>
    </row>
    <row r="336" ht="52.5" customHeight="1">
      <c r="A336" s="9"/>
      <c r="B336" s="19" t="s">
        <v>791</v>
      </c>
      <c r="C336" s="20" t="s">
        <v>792</v>
      </c>
      <c r="D336" s="10">
        <v>1.0</v>
      </c>
      <c r="E336" s="10">
        <v>450.0</v>
      </c>
      <c r="F336" s="10" t="s">
        <v>793</v>
      </c>
      <c r="G336" s="14">
        <v>0.087</v>
      </c>
      <c r="H336" s="13"/>
      <c r="I336" s="13"/>
    </row>
    <row r="337" ht="52.5" customHeight="1">
      <c r="A337" s="9"/>
      <c r="B337" s="19" t="s">
        <v>794</v>
      </c>
      <c r="C337" s="20" t="s">
        <v>795</v>
      </c>
      <c r="D337" s="10">
        <v>1.0</v>
      </c>
      <c r="E337" s="10">
        <v>70.0</v>
      </c>
      <c r="F337" s="13"/>
      <c r="G337" s="14">
        <v>1.85</v>
      </c>
      <c r="H337" s="13"/>
      <c r="I337" s="13"/>
    </row>
    <row r="338" ht="52.5" customHeight="1">
      <c r="A338" s="9"/>
      <c r="B338" s="19" t="s">
        <v>796</v>
      </c>
      <c r="C338" s="20" t="s">
        <v>797</v>
      </c>
      <c r="D338" s="10">
        <v>1.0</v>
      </c>
      <c r="E338" s="10">
        <v>150.0</v>
      </c>
      <c r="F338" s="13"/>
      <c r="G338" s="14">
        <v>1.85</v>
      </c>
      <c r="H338" s="13"/>
      <c r="I338" s="13"/>
    </row>
    <row r="339" ht="52.5" customHeight="1">
      <c r="A339" s="9"/>
      <c r="B339" s="19" t="s">
        <v>798</v>
      </c>
      <c r="C339" s="20" t="s">
        <v>799</v>
      </c>
      <c r="D339" s="10">
        <v>1.0</v>
      </c>
      <c r="E339" s="10">
        <v>120.0</v>
      </c>
      <c r="F339" s="13"/>
      <c r="G339" s="14">
        <v>1.81</v>
      </c>
      <c r="H339" s="13"/>
      <c r="I339" s="13"/>
    </row>
    <row r="340" ht="52.5" customHeight="1">
      <c r="A340" s="9"/>
      <c r="B340" s="19" t="s">
        <v>800</v>
      </c>
      <c r="C340" s="20" t="s">
        <v>801</v>
      </c>
      <c r="D340" s="10">
        <v>1.0</v>
      </c>
      <c r="E340" s="10">
        <v>65.0</v>
      </c>
      <c r="F340" s="13"/>
      <c r="G340" s="14">
        <v>0.4764</v>
      </c>
      <c r="H340" s="13"/>
      <c r="I340" s="13"/>
    </row>
    <row r="341" ht="52.5" customHeight="1">
      <c r="A341" s="9"/>
      <c r="B341" s="19" t="s">
        <v>802</v>
      </c>
      <c r="C341" s="20" t="s">
        <v>803</v>
      </c>
      <c r="D341" s="10">
        <v>1.0</v>
      </c>
      <c r="E341" s="10">
        <v>17.0</v>
      </c>
      <c r="F341" s="13"/>
      <c r="G341" s="14">
        <v>4.1</v>
      </c>
      <c r="H341" s="13"/>
      <c r="I341" s="13"/>
    </row>
    <row r="342" ht="52.5" customHeight="1">
      <c r="A342" s="9"/>
      <c r="B342" s="19" t="s">
        <v>804</v>
      </c>
      <c r="C342" s="20" t="s">
        <v>805</v>
      </c>
      <c r="D342" s="10">
        <v>1.0</v>
      </c>
      <c r="E342" s="10">
        <v>18.0</v>
      </c>
      <c r="F342" s="13"/>
      <c r="G342" s="14">
        <v>13.5</v>
      </c>
      <c r="H342" s="13"/>
      <c r="I342" s="13"/>
    </row>
    <row r="343" ht="52.5" customHeight="1">
      <c r="A343" s="9"/>
      <c r="B343" s="19" t="s">
        <v>806</v>
      </c>
      <c r="C343" s="20" t="s">
        <v>807</v>
      </c>
      <c r="D343" s="10">
        <v>1.0</v>
      </c>
      <c r="E343" s="10">
        <v>9.0</v>
      </c>
      <c r="F343" s="13"/>
      <c r="G343" s="14">
        <v>3.14</v>
      </c>
      <c r="H343" s="13"/>
      <c r="I343" s="13"/>
    </row>
    <row r="344" ht="52.5" customHeight="1">
      <c r="A344" s="9"/>
      <c r="B344" s="19" t="s">
        <v>808</v>
      </c>
      <c r="C344" s="20" t="s">
        <v>809</v>
      </c>
      <c r="D344" s="10">
        <v>1.0</v>
      </c>
      <c r="E344" s="10">
        <v>1.0</v>
      </c>
      <c r="F344" s="13"/>
      <c r="G344" s="14">
        <v>15.0</v>
      </c>
      <c r="H344" s="13"/>
      <c r="I344" s="13"/>
    </row>
    <row r="345" ht="52.5" customHeight="1">
      <c r="A345" s="9"/>
      <c r="B345" s="19" t="s">
        <v>810</v>
      </c>
      <c r="C345" s="20" t="s">
        <v>811</v>
      </c>
      <c r="D345" s="10">
        <v>1.0</v>
      </c>
      <c r="E345" s="10">
        <v>19.0</v>
      </c>
      <c r="F345" s="13"/>
      <c r="G345" s="14">
        <v>3.25</v>
      </c>
      <c r="H345" s="13"/>
      <c r="I345" s="13"/>
    </row>
    <row r="346" ht="52.5" customHeight="1">
      <c r="A346" s="9"/>
      <c r="B346" s="19" t="s">
        <v>812</v>
      </c>
      <c r="C346" s="20" t="s">
        <v>813</v>
      </c>
      <c r="D346" s="10">
        <v>1.0</v>
      </c>
      <c r="E346" s="10">
        <v>7.0</v>
      </c>
      <c r="F346" s="10" t="s">
        <v>82</v>
      </c>
      <c r="G346" s="14">
        <v>4.66</v>
      </c>
      <c r="H346" s="13"/>
      <c r="I346" s="13"/>
    </row>
    <row r="347" ht="52.5" customHeight="1">
      <c r="A347" s="9"/>
      <c r="B347" s="19" t="s">
        <v>814</v>
      </c>
      <c r="C347" s="20" t="s">
        <v>815</v>
      </c>
      <c r="D347" s="10">
        <v>1.0</v>
      </c>
      <c r="E347" s="10">
        <v>25.0</v>
      </c>
      <c r="F347" s="13"/>
      <c r="G347" s="14">
        <v>11.35</v>
      </c>
      <c r="H347" s="13"/>
      <c r="I347" s="13"/>
    </row>
    <row r="348" ht="52.5" customHeight="1">
      <c r="A348" s="9"/>
      <c r="B348" s="19" t="s">
        <v>816</v>
      </c>
      <c r="C348" s="20" t="s">
        <v>817</v>
      </c>
      <c r="D348" s="10">
        <v>1.0</v>
      </c>
      <c r="E348" s="10">
        <v>3.0</v>
      </c>
      <c r="F348" s="13"/>
      <c r="G348" s="14">
        <v>12.8</v>
      </c>
      <c r="H348" s="13"/>
      <c r="I348" s="13"/>
    </row>
    <row r="349" ht="52.5" customHeight="1">
      <c r="A349" s="9"/>
      <c r="B349" s="19" t="s">
        <v>818</v>
      </c>
      <c r="C349" s="20" t="s">
        <v>819</v>
      </c>
      <c r="D349" s="10">
        <v>1.0</v>
      </c>
      <c r="E349" s="10">
        <v>23.0</v>
      </c>
      <c r="F349" s="13"/>
      <c r="G349" s="14">
        <v>0.91</v>
      </c>
      <c r="H349" s="13"/>
      <c r="I349" s="13"/>
    </row>
    <row r="350" ht="52.5" customHeight="1">
      <c r="A350" s="9"/>
      <c r="B350" s="19" t="s">
        <v>820</v>
      </c>
      <c r="C350" s="20" t="s">
        <v>821</v>
      </c>
      <c r="D350" s="10">
        <v>1.0</v>
      </c>
      <c r="E350" s="10">
        <v>5.0</v>
      </c>
      <c r="F350" s="13"/>
      <c r="G350" s="14">
        <v>4.8</v>
      </c>
      <c r="H350" s="13"/>
      <c r="I350" s="13"/>
    </row>
    <row r="351" ht="52.5" customHeight="1">
      <c r="A351" s="9"/>
      <c r="B351" s="19" t="s">
        <v>822</v>
      </c>
      <c r="C351" s="20" t="s">
        <v>823</v>
      </c>
      <c r="D351" s="10">
        <v>1.0</v>
      </c>
      <c r="E351" s="10">
        <v>10.0</v>
      </c>
      <c r="F351" s="13"/>
      <c r="G351" s="14">
        <v>1.38</v>
      </c>
      <c r="H351" s="13"/>
      <c r="I351" s="13"/>
    </row>
    <row r="352" ht="52.5" customHeight="1">
      <c r="A352" s="9"/>
      <c r="B352" s="19" t="s">
        <v>824</v>
      </c>
      <c r="C352" s="20" t="s">
        <v>825</v>
      </c>
      <c r="D352" s="10">
        <v>1.0</v>
      </c>
      <c r="E352" s="10">
        <v>7.0</v>
      </c>
      <c r="F352" s="13"/>
      <c r="G352" s="14">
        <v>1.15</v>
      </c>
      <c r="H352" s="13"/>
      <c r="I352" s="13"/>
    </row>
    <row r="353" ht="52.5" customHeight="1">
      <c r="A353" s="9"/>
      <c r="B353" s="19" t="s">
        <v>826</v>
      </c>
      <c r="C353" s="20" t="s">
        <v>827</v>
      </c>
      <c r="D353" s="10">
        <v>1.0</v>
      </c>
      <c r="E353" s="10">
        <v>0.0</v>
      </c>
      <c r="F353" s="13"/>
      <c r="G353" s="14">
        <v>12.5</v>
      </c>
      <c r="H353" s="13"/>
      <c r="I353" s="13"/>
    </row>
    <row r="354" ht="52.5" customHeight="1">
      <c r="A354" s="6"/>
      <c r="B354" s="8" t="s">
        <v>12</v>
      </c>
      <c r="C354" s="10" t="s">
        <v>74</v>
      </c>
      <c r="D354" s="10">
        <v>5.0</v>
      </c>
      <c r="E354" s="10">
        <v>105.0</v>
      </c>
      <c r="F354" s="13"/>
      <c r="G354" s="15"/>
      <c r="H354" s="13"/>
      <c r="I354" s="13"/>
    </row>
    <row r="355" ht="52.5" customHeight="1">
      <c r="A355" s="6"/>
      <c r="B355" s="19" t="s">
        <v>828</v>
      </c>
      <c r="C355" s="20" t="s">
        <v>829</v>
      </c>
      <c r="D355" s="10">
        <v>1.0</v>
      </c>
      <c r="E355" s="10">
        <v>11.0</v>
      </c>
      <c r="F355" s="13"/>
      <c r="G355" s="14">
        <v>4.95</v>
      </c>
      <c r="H355" s="13"/>
      <c r="I355" s="13"/>
    </row>
    <row r="356" ht="52.5" customHeight="1">
      <c r="A356" s="6"/>
      <c r="B356" s="19" t="s">
        <v>830</v>
      </c>
      <c r="C356" s="20" t="s">
        <v>831</v>
      </c>
      <c r="D356" s="10">
        <v>1.0</v>
      </c>
      <c r="E356" s="10">
        <v>1.0</v>
      </c>
      <c r="F356" s="13"/>
      <c r="G356" s="14">
        <v>5.64</v>
      </c>
      <c r="H356" s="13"/>
      <c r="I356" s="13"/>
    </row>
    <row r="357" ht="52.5" customHeight="1">
      <c r="A357" s="6"/>
      <c r="B357" s="19" t="s">
        <v>832</v>
      </c>
      <c r="C357" s="20" t="s">
        <v>833</v>
      </c>
      <c r="D357" s="10">
        <v>1.0</v>
      </c>
      <c r="E357" s="10">
        <v>118.0</v>
      </c>
      <c r="F357" s="13"/>
      <c r="G357" s="14">
        <v>0.01</v>
      </c>
      <c r="H357" s="13"/>
      <c r="I357" s="13"/>
    </row>
    <row r="358" ht="52.5" customHeight="1">
      <c r="A358" s="6"/>
      <c r="B358" s="19" t="s">
        <v>834</v>
      </c>
      <c r="C358" s="20" t="s">
        <v>835</v>
      </c>
      <c r="D358" s="10">
        <v>1.0</v>
      </c>
      <c r="E358" s="10">
        <v>15.0</v>
      </c>
      <c r="F358" s="13"/>
      <c r="G358" s="14">
        <v>0.27</v>
      </c>
      <c r="H358" s="13"/>
      <c r="I358" s="13"/>
    </row>
    <row r="359" ht="52.5" customHeight="1">
      <c r="A359" s="6"/>
      <c r="B359" s="19" t="s">
        <v>836</v>
      </c>
      <c r="C359" s="20" t="s">
        <v>837</v>
      </c>
      <c r="D359" s="10">
        <v>1.0</v>
      </c>
      <c r="E359" s="10">
        <v>24.0</v>
      </c>
      <c r="F359" s="13"/>
      <c r="G359" s="14">
        <v>16.68</v>
      </c>
      <c r="H359" s="13"/>
      <c r="I359" s="13"/>
    </row>
    <row r="360" ht="52.5" customHeight="1">
      <c r="A360" s="6"/>
      <c r="B360" s="19" t="s">
        <v>838</v>
      </c>
      <c r="C360" s="20" t="s">
        <v>839</v>
      </c>
      <c r="D360" s="10">
        <v>1.0</v>
      </c>
      <c r="E360" s="10">
        <v>18.0</v>
      </c>
      <c r="F360" s="10" t="s">
        <v>840</v>
      </c>
      <c r="G360" s="15"/>
      <c r="H360" s="13"/>
      <c r="I360" s="13"/>
    </row>
    <row r="361" ht="52.5" customHeight="1">
      <c r="A361" s="6"/>
      <c r="B361" s="19" t="s">
        <v>841</v>
      </c>
      <c r="C361" s="20" t="s">
        <v>842</v>
      </c>
      <c r="D361" s="10">
        <v>1.0</v>
      </c>
      <c r="E361" s="10">
        <v>12.0</v>
      </c>
      <c r="F361" s="13"/>
      <c r="G361" s="14">
        <v>1.73</v>
      </c>
      <c r="H361" s="13"/>
      <c r="I361" s="13"/>
    </row>
    <row r="362" ht="52.5" customHeight="1">
      <c r="A362" s="6"/>
      <c r="B362" s="19" t="s">
        <v>843</v>
      </c>
      <c r="C362" s="20" t="s">
        <v>844</v>
      </c>
      <c r="D362" s="10">
        <v>1.0</v>
      </c>
      <c r="E362" s="10">
        <v>50.0</v>
      </c>
      <c r="F362" s="13"/>
      <c r="G362" s="14">
        <v>0.65</v>
      </c>
      <c r="H362" s="8"/>
      <c r="I362" s="13"/>
    </row>
    <row r="363" ht="52.5" customHeight="1">
      <c r="A363" s="6"/>
      <c r="B363" s="19" t="s">
        <v>845</v>
      </c>
      <c r="C363" s="20" t="s">
        <v>846</v>
      </c>
      <c r="D363" s="10">
        <v>1.0</v>
      </c>
      <c r="E363" s="10">
        <v>10.0</v>
      </c>
      <c r="F363" s="13"/>
      <c r="G363" s="14">
        <v>0.6</v>
      </c>
      <c r="H363" s="13"/>
      <c r="I363" s="13"/>
    </row>
    <row r="364" ht="52.5" customHeight="1">
      <c r="A364" s="6"/>
      <c r="B364" s="19" t="s">
        <v>847</v>
      </c>
      <c r="C364" s="20" t="s">
        <v>848</v>
      </c>
      <c r="D364" s="10">
        <v>1.0</v>
      </c>
      <c r="E364" s="10">
        <v>9.0</v>
      </c>
      <c r="F364" s="13"/>
      <c r="G364" s="14">
        <v>0.75</v>
      </c>
      <c r="H364" s="13"/>
      <c r="I364" s="13"/>
    </row>
    <row r="365" ht="52.5" customHeight="1">
      <c r="A365" s="6"/>
      <c r="B365" s="19" t="s">
        <v>849</v>
      </c>
      <c r="C365" s="20" t="s">
        <v>850</v>
      </c>
      <c r="D365" s="10">
        <v>1.0</v>
      </c>
      <c r="E365" s="10">
        <v>2.0</v>
      </c>
      <c r="F365" s="10" t="s">
        <v>790</v>
      </c>
      <c r="G365" s="14">
        <v>5.94</v>
      </c>
      <c r="H365" s="13"/>
      <c r="I365" s="13"/>
    </row>
    <row r="366" ht="52.5" customHeight="1">
      <c r="A366" s="6"/>
      <c r="B366" s="19" t="s">
        <v>851</v>
      </c>
      <c r="C366" s="20" t="s">
        <v>852</v>
      </c>
      <c r="D366" s="10">
        <v>1.0</v>
      </c>
      <c r="E366" s="10">
        <v>1.0</v>
      </c>
      <c r="F366" s="13"/>
      <c r="G366" s="14">
        <v>0.17</v>
      </c>
      <c r="H366" s="13"/>
      <c r="I366" s="13"/>
    </row>
    <row r="367" ht="52.5" customHeight="1">
      <c r="A367" s="6"/>
      <c r="B367" s="19" t="s">
        <v>853</v>
      </c>
      <c r="C367" s="20" t="s">
        <v>854</v>
      </c>
      <c r="D367" s="10">
        <v>1.0</v>
      </c>
      <c r="E367" s="10">
        <v>5.0</v>
      </c>
      <c r="F367" s="13"/>
      <c r="G367" s="14">
        <v>35.0</v>
      </c>
      <c r="H367" s="13"/>
      <c r="I367" s="13"/>
    </row>
    <row r="368" ht="52.5" customHeight="1">
      <c r="A368" s="6"/>
      <c r="B368" s="19" t="s">
        <v>855</v>
      </c>
      <c r="C368" s="20" t="s">
        <v>856</v>
      </c>
      <c r="D368" s="10">
        <v>1.0</v>
      </c>
      <c r="E368" s="10">
        <v>1.0</v>
      </c>
      <c r="F368" s="13"/>
      <c r="G368" s="14">
        <v>165.0</v>
      </c>
      <c r="H368" s="13"/>
      <c r="I368" s="13"/>
    </row>
    <row r="369" ht="52.5" customHeight="1">
      <c r="A369" s="6"/>
      <c r="B369" s="19" t="s">
        <v>857</v>
      </c>
      <c r="C369" s="20" t="s">
        <v>858</v>
      </c>
      <c r="D369" s="10">
        <v>1.0</v>
      </c>
      <c r="E369" s="10">
        <v>36.0</v>
      </c>
      <c r="F369" s="13"/>
      <c r="G369" s="14">
        <v>0.07</v>
      </c>
      <c r="H369" s="13"/>
      <c r="I369" s="13"/>
    </row>
    <row r="370" ht="52.5" customHeight="1">
      <c r="A370" s="6"/>
      <c r="B370" s="19" t="s">
        <v>859</v>
      </c>
      <c r="C370" s="20" t="s">
        <v>860</v>
      </c>
      <c r="D370" s="10">
        <v>1.0</v>
      </c>
      <c r="E370" s="10">
        <v>17.0</v>
      </c>
      <c r="F370" s="13"/>
      <c r="G370" s="14">
        <v>0.85</v>
      </c>
      <c r="H370" s="13"/>
      <c r="I370" s="13"/>
    </row>
    <row r="371" ht="52.5" customHeight="1">
      <c r="A371" s="6"/>
      <c r="B371" s="19" t="s">
        <v>861</v>
      </c>
      <c r="C371" s="20" t="s">
        <v>862</v>
      </c>
      <c r="D371" s="10">
        <v>1.0</v>
      </c>
      <c r="E371" s="10">
        <v>4.0</v>
      </c>
      <c r="F371" s="13"/>
      <c r="G371" s="14">
        <v>1.1</v>
      </c>
      <c r="H371" s="13"/>
      <c r="I371" s="13"/>
    </row>
    <row r="372" ht="52.5" customHeight="1">
      <c r="A372" s="18"/>
      <c r="B372" s="19" t="s">
        <v>863</v>
      </c>
      <c r="C372" s="20" t="s">
        <v>864</v>
      </c>
      <c r="D372" s="26">
        <v>1.0</v>
      </c>
      <c r="E372" s="26">
        <v>4.0</v>
      </c>
      <c r="F372" s="31"/>
      <c r="G372" s="32">
        <v>5.52</v>
      </c>
      <c r="H372" s="31"/>
      <c r="I372" s="13"/>
    </row>
    <row r="373" ht="52.5" customHeight="1">
      <c r="A373" s="6"/>
      <c r="B373" s="19" t="s">
        <v>865</v>
      </c>
      <c r="C373" s="20" t="s">
        <v>866</v>
      </c>
      <c r="D373" s="10">
        <v>1.0</v>
      </c>
      <c r="E373" s="10">
        <v>3.0</v>
      </c>
      <c r="F373" s="13"/>
      <c r="G373" s="14">
        <v>17.35</v>
      </c>
      <c r="H373" s="13"/>
      <c r="I373" s="13"/>
    </row>
    <row r="374" ht="52.5" customHeight="1">
      <c r="A374" s="6"/>
      <c r="B374" s="19" t="s">
        <v>867</v>
      </c>
      <c r="C374" s="20" t="s">
        <v>868</v>
      </c>
      <c r="D374" s="10">
        <v>1.0</v>
      </c>
      <c r="E374" s="10">
        <v>1.0</v>
      </c>
      <c r="F374" s="13"/>
      <c r="G374" s="14">
        <v>50.0</v>
      </c>
      <c r="H374" s="13"/>
      <c r="I374" s="13"/>
    </row>
    <row r="375" ht="52.5" customHeight="1">
      <c r="A375" s="6"/>
      <c r="B375" s="19" t="s">
        <v>869</v>
      </c>
      <c r="C375" s="20" t="s">
        <v>870</v>
      </c>
      <c r="D375" s="10">
        <v>1.0</v>
      </c>
      <c r="E375" s="10">
        <v>5.0</v>
      </c>
      <c r="F375" s="13"/>
      <c r="G375" s="14">
        <v>7.3</v>
      </c>
      <c r="H375" s="13"/>
      <c r="I375" s="13"/>
    </row>
    <row r="376" ht="52.5" customHeight="1">
      <c r="A376" s="6"/>
      <c r="B376" s="19" t="s">
        <v>871</v>
      </c>
      <c r="C376" s="20" t="s">
        <v>872</v>
      </c>
      <c r="D376" s="10">
        <v>1.0</v>
      </c>
      <c r="E376" s="10">
        <v>5.0</v>
      </c>
      <c r="F376" s="13"/>
      <c r="G376" s="14">
        <v>5.0</v>
      </c>
      <c r="H376" s="13"/>
      <c r="I376" s="13"/>
    </row>
    <row r="377" ht="52.5" customHeight="1">
      <c r="A377" s="6"/>
      <c r="B377" s="19" t="s">
        <v>873</v>
      </c>
      <c r="C377" s="20" t="s">
        <v>874</v>
      </c>
      <c r="D377" s="10">
        <v>1.0</v>
      </c>
      <c r="E377" s="10">
        <v>3.0</v>
      </c>
      <c r="F377" s="13"/>
      <c r="G377" s="14">
        <v>5.0</v>
      </c>
      <c r="H377" s="13"/>
      <c r="I377" s="13"/>
    </row>
    <row r="378" ht="52.5" customHeight="1">
      <c r="A378" s="6"/>
      <c r="B378" s="19" t="s">
        <v>875</v>
      </c>
      <c r="C378" s="20" t="s">
        <v>876</v>
      </c>
      <c r="D378" s="10">
        <v>1.0</v>
      </c>
      <c r="E378" s="10">
        <v>3.0</v>
      </c>
      <c r="F378" s="13"/>
      <c r="G378" s="14">
        <v>35.0</v>
      </c>
      <c r="H378" s="13"/>
      <c r="I378" s="13"/>
    </row>
    <row r="379" ht="52.5" customHeight="1">
      <c r="A379" s="6"/>
      <c r="B379" s="19" t="s">
        <v>877</v>
      </c>
      <c r="C379" s="20" t="s">
        <v>878</v>
      </c>
      <c r="D379" s="10">
        <v>1.0</v>
      </c>
      <c r="E379" s="10">
        <v>2.0</v>
      </c>
      <c r="F379" s="13"/>
      <c r="G379" s="14">
        <v>150.0</v>
      </c>
      <c r="H379" s="13"/>
      <c r="I379" s="13"/>
    </row>
    <row r="380" ht="52.5" customHeight="1">
      <c r="A380" s="6"/>
      <c r="B380" s="19" t="s">
        <v>879</v>
      </c>
      <c r="C380" s="20" t="s">
        <v>880</v>
      </c>
      <c r="D380" s="10">
        <v>1.0</v>
      </c>
      <c r="E380" s="10">
        <v>5.0</v>
      </c>
      <c r="F380" s="13"/>
      <c r="G380" s="14">
        <v>52.0</v>
      </c>
      <c r="H380" s="13"/>
      <c r="I380" s="13"/>
    </row>
    <row r="381" ht="52.5" customHeight="1">
      <c r="A381" s="6"/>
      <c r="B381" s="19" t="s">
        <v>881</v>
      </c>
      <c r="C381" s="20" t="s">
        <v>882</v>
      </c>
      <c r="D381" s="10">
        <v>1.0</v>
      </c>
      <c r="E381" s="10">
        <v>1.0</v>
      </c>
      <c r="F381" s="13"/>
      <c r="G381" s="14">
        <v>4.75</v>
      </c>
      <c r="H381" s="13"/>
      <c r="I381" s="13"/>
    </row>
    <row r="382" ht="52.5" customHeight="1">
      <c r="A382" s="6"/>
      <c r="B382" s="19" t="s">
        <v>883</v>
      </c>
      <c r="C382" s="20" t="s">
        <v>884</v>
      </c>
      <c r="D382" s="10">
        <v>1.0</v>
      </c>
      <c r="E382" s="10">
        <v>2.0</v>
      </c>
      <c r="F382" s="13"/>
      <c r="G382" s="14">
        <v>7.05</v>
      </c>
      <c r="H382" s="13"/>
      <c r="I382" s="13"/>
    </row>
    <row r="383" ht="52.5" customHeight="1">
      <c r="A383" s="6"/>
      <c r="B383" s="19" t="s">
        <v>885</v>
      </c>
      <c r="C383" s="20" t="s">
        <v>886</v>
      </c>
      <c r="D383" s="10">
        <v>1.0</v>
      </c>
      <c r="E383" s="10">
        <v>2.0</v>
      </c>
      <c r="F383" s="13"/>
      <c r="G383" s="14">
        <v>35.0</v>
      </c>
      <c r="H383" s="13"/>
      <c r="I383" s="13"/>
    </row>
    <row r="384" ht="52.5" customHeight="1">
      <c r="A384" s="6"/>
      <c r="B384" s="19" t="s">
        <v>887</v>
      </c>
      <c r="C384" s="20" t="s">
        <v>888</v>
      </c>
      <c r="D384" s="10">
        <v>1.0</v>
      </c>
      <c r="E384" s="10">
        <v>6.0</v>
      </c>
      <c r="F384" s="13"/>
      <c r="G384" s="14">
        <v>17.0</v>
      </c>
      <c r="H384" s="13"/>
      <c r="I384" s="13"/>
    </row>
    <row r="385" ht="52.5" customHeight="1">
      <c r="A385" s="6"/>
      <c r="B385" s="19" t="s">
        <v>889</v>
      </c>
      <c r="C385" s="20" t="s">
        <v>890</v>
      </c>
      <c r="D385" s="10">
        <v>1.0</v>
      </c>
      <c r="E385" s="10">
        <v>1.0</v>
      </c>
      <c r="F385" s="13"/>
      <c r="G385" s="14">
        <v>55.0</v>
      </c>
      <c r="H385" s="13"/>
      <c r="I385" s="13"/>
    </row>
    <row r="386" ht="52.5" customHeight="1">
      <c r="A386" s="18"/>
      <c r="B386" s="19" t="s">
        <v>891</v>
      </c>
      <c r="C386" s="20" t="s">
        <v>892</v>
      </c>
      <c r="D386" s="26">
        <v>1.0</v>
      </c>
      <c r="E386" s="26">
        <v>51.0</v>
      </c>
      <c r="F386" s="31"/>
      <c r="G386" s="32">
        <v>1.4</v>
      </c>
      <c r="H386" s="31"/>
      <c r="I386" s="13"/>
    </row>
    <row r="387" ht="52.5" customHeight="1">
      <c r="A387" s="6"/>
      <c r="B387" s="19" t="s">
        <v>893</v>
      </c>
      <c r="C387" s="20" t="s">
        <v>894</v>
      </c>
      <c r="D387" s="10">
        <v>1.0</v>
      </c>
      <c r="E387" s="10">
        <v>59.0</v>
      </c>
      <c r="F387" s="13"/>
      <c r="G387" s="14">
        <v>0.51</v>
      </c>
      <c r="H387" s="13"/>
      <c r="I387" s="13"/>
    </row>
    <row r="388" ht="52.5" customHeight="1">
      <c r="A388" s="6"/>
      <c r="B388" s="19" t="s">
        <v>895</v>
      </c>
      <c r="C388" s="20" t="s">
        <v>896</v>
      </c>
      <c r="D388" s="10">
        <v>1.0</v>
      </c>
      <c r="E388" s="10">
        <v>9.0</v>
      </c>
      <c r="F388" s="13"/>
      <c r="G388" s="14">
        <v>5.9</v>
      </c>
      <c r="H388" s="13"/>
      <c r="I388" s="13"/>
    </row>
    <row r="389" ht="52.5" customHeight="1">
      <c r="A389" s="6"/>
      <c r="B389" s="19" t="s">
        <v>897</v>
      </c>
      <c r="C389" s="20" t="s">
        <v>898</v>
      </c>
      <c r="D389" s="10">
        <v>1.0</v>
      </c>
      <c r="E389" s="10">
        <v>7.0</v>
      </c>
      <c r="F389" s="13"/>
      <c r="G389" s="14">
        <v>36.5</v>
      </c>
      <c r="H389" s="13"/>
      <c r="I389" s="13"/>
    </row>
    <row r="390" ht="52.5" customHeight="1">
      <c r="A390" s="18"/>
      <c r="B390" s="33" t="s">
        <v>899</v>
      </c>
      <c r="C390" s="20" t="s">
        <v>900</v>
      </c>
      <c r="D390" s="26">
        <v>1.0</v>
      </c>
      <c r="E390" s="26">
        <v>100.0</v>
      </c>
      <c r="F390" s="31"/>
      <c r="G390" s="32">
        <v>1.68</v>
      </c>
      <c r="H390" s="31"/>
      <c r="I390" s="13"/>
    </row>
    <row r="391" ht="52.5" customHeight="1">
      <c r="A391" s="18"/>
      <c r="B391" s="33" t="s">
        <v>901</v>
      </c>
      <c r="C391" s="20" t="s">
        <v>902</v>
      </c>
      <c r="D391" s="26">
        <v>1.0</v>
      </c>
      <c r="E391" s="26">
        <v>200.0</v>
      </c>
      <c r="F391" s="31"/>
      <c r="G391" s="32">
        <v>0.14</v>
      </c>
      <c r="H391" s="31"/>
      <c r="I391" s="13"/>
    </row>
    <row r="392" ht="52.5" customHeight="1">
      <c r="A392" s="18"/>
      <c r="B392" s="19" t="s">
        <v>903</v>
      </c>
      <c r="C392" s="20" t="s">
        <v>904</v>
      </c>
      <c r="D392" s="26">
        <v>1.0</v>
      </c>
      <c r="E392" s="26">
        <v>66.0</v>
      </c>
      <c r="F392" s="31"/>
      <c r="G392" s="32">
        <v>1.5</v>
      </c>
      <c r="H392" s="31"/>
      <c r="I392" s="13"/>
    </row>
    <row r="393" ht="52.5" customHeight="1">
      <c r="A393" s="18"/>
      <c r="B393" s="19" t="s">
        <v>905</v>
      </c>
      <c r="C393" s="20" t="s">
        <v>906</v>
      </c>
      <c r="D393" s="26">
        <v>1.0</v>
      </c>
      <c r="E393" s="26">
        <v>550.0</v>
      </c>
      <c r="F393" s="31"/>
      <c r="G393" s="32">
        <v>0.11</v>
      </c>
      <c r="H393" s="31"/>
      <c r="I393" s="13"/>
    </row>
    <row r="394" ht="52.5" customHeight="1">
      <c r="A394" s="6"/>
      <c r="B394" s="19" t="s">
        <v>907</v>
      </c>
      <c r="C394" s="20" t="s">
        <v>908</v>
      </c>
      <c r="D394" s="10">
        <v>1.0</v>
      </c>
      <c r="E394" s="10">
        <v>300.0</v>
      </c>
      <c r="F394" s="13"/>
      <c r="G394" s="14">
        <v>0.11</v>
      </c>
      <c r="H394" s="13"/>
      <c r="I394" s="13"/>
    </row>
    <row r="395" ht="52.5" customHeight="1">
      <c r="A395" s="6"/>
      <c r="B395" s="19" t="s">
        <v>909</v>
      </c>
      <c r="C395" s="20" t="s">
        <v>910</v>
      </c>
      <c r="D395" s="10">
        <v>1.0</v>
      </c>
      <c r="E395" s="10">
        <v>601.0</v>
      </c>
      <c r="F395" s="13"/>
      <c r="G395" s="14">
        <v>0.11</v>
      </c>
      <c r="H395" s="13"/>
      <c r="I395" s="13"/>
    </row>
    <row r="396" ht="52.5" customHeight="1">
      <c r="A396" s="8"/>
      <c r="B396" s="19" t="s">
        <v>911</v>
      </c>
      <c r="C396" s="20" t="s">
        <v>912</v>
      </c>
      <c r="D396" s="10">
        <v>1.0</v>
      </c>
      <c r="E396" s="10">
        <v>2.0</v>
      </c>
      <c r="F396" s="13"/>
      <c r="G396" s="14">
        <v>1000.0</v>
      </c>
      <c r="H396" s="13"/>
      <c r="I396" s="13"/>
    </row>
    <row r="397" ht="52.5" customHeight="1">
      <c r="A397" s="53"/>
      <c r="B397" s="53" t="s">
        <v>913</v>
      </c>
      <c r="C397" s="54" t="s">
        <v>914</v>
      </c>
      <c r="D397" s="54">
        <v>1.0</v>
      </c>
      <c r="E397" s="54">
        <v>5.0</v>
      </c>
      <c r="F397" s="7"/>
      <c r="G397" s="55"/>
      <c r="H397" s="7"/>
      <c r="I397" s="13"/>
    </row>
    <row r="398" ht="52.5" customHeight="1">
      <c r="A398" s="53"/>
      <c r="B398" s="53" t="s">
        <v>915</v>
      </c>
      <c r="C398" s="54" t="s">
        <v>916</v>
      </c>
      <c r="D398" s="54">
        <v>1.0</v>
      </c>
      <c r="E398" s="54">
        <v>10.0</v>
      </c>
      <c r="F398" s="7"/>
      <c r="G398" s="55"/>
      <c r="H398" s="7"/>
      <c r="I398" s="13"/>
    </row>
    <row r="399" ht="52.5" customHeight="1">
      <c r="A399" s="53"/>
      <c r="B399" s="53" t="s">
        <v>917</v>
      </c>
      <c r="C399" s="54" t="s">
        <v>918</v>
      </c>
      <c r="D399" s="54">
        <v>1.0</v>
      </c>
      <c r="E399" s="54">
        <v>5.0</v>
      </c>
      <c r="F399" s="7"/>
      <c r="G399" s="55"/>
      <c r="H399" s="7"/>
      <c r="I399" s="13"/>
    </row>
    <row r="400" ht="52.5" customHeight="1">
      <c r="A400" s="53"/>
      <c r="B400" s="53" t="s">
        <v>919</v>
      </c>
      <c r="C400" s="54" t="s">
        <v>920</v>
      </c>
      <c r="D400" s="54">
        <v>1.0</v>
      </c>
      <c r="E400" s="54">
        <v>5.0</v>
      </c>
      <c r="F400" s="7"/>
      <c r="G400" s="55"/>
      <c r="H400" s="7"/>
      <c r="I400" s="13"/>
    </row>
    <row r="401" ht="52.5" customHeight="1">
      <c r="A401" s="53"/>
      <c r="B401" s="53" t="s">
        <v>921</v>
      </c>
      <c r="C401" s="54" t="s">
        <v>922</v>
      </c>
      <c r="D401" s="54">
        <v>1.0</v>
      </c>
      <c r="E401" s="54">
        <v>5.0</v>
      </c>
      <c r="F401" s="7"/>
      <c r="G401" s="55"/>
      <c r="H401" s="7"/>
      <c r="I401" s="13"/>
    </row>
    <row r="402" ht="52.5" customHeight="1">
      <c r="A402" s="53"/>
      <c r="B402" s="53" t="s">
        <v>923</v>
      </c>
      <c r="C402" s="54" t="s">
        <v>924</v>
      </c>
      <c r="D402" s="54">
        <v>1.0</v>
      </c>
      <c r="E402" s="54">
        <v>5.0</v>
      </c>
      <c r="F402" s="7"/>
      <c r="G402" s="55"/>
      <c r="H402" s="7"/>
      <c r="I402" s="13"/>
    </row>
    <row r="403" ht="52.5" customHeight="1">
      <c r="A403" s="53"/>
      <c r="B403" s="53" t="s">
        <v>925</v>
      </c>
      <c r="C403" s="54" t="s">
        <v>926</v>
      </c>
      <c r="D403" s="54">
        <v>1.0</v>
      </c>
      <c r="E403" s="54">
        <v>5.0</v>
      </c>
      <c r="F403" s="7"/>
      <c r="G403" s="55"/>
      <c r="H403" s="7"/>
      <c r="I403" s="13"/>
    </row>
    <row r="404" ht="52.5" customHeight="1">
      <c r="A404" s="53"/>
      <c r="B404" s="53" t="s">
        <v>927</v>
      </c>
      <c r="C404" s="54" t="s">
        <v>928</v>
      </c>
      <c r="D404" s="54">
        <v>1.0</v>
      </c>
      <c r="E404" s="54">
        <v>5.0</v>
      </c>
      <c r="F404" s="7"/>
      <c r="G404" s="55"/>
      <c r="H404" s="7"/>
      <c r="I404" s="13"/>
    </row>
    <row r="405" ht="52.5" customHeight="1">
      <c r="A405" s="53"/>
      <c r="B405" s="53" t="s">
        <v>929</v>
      </c>
      <c r="C405" s="54" t="s">
        <v>930</v>
      </c>
      <c r="D405" s="54">
        <v>1.0</v>
      </c>
      <c r="E405" s="54">
        <v>5.0</v>
      </c>
      <c r="F405" s="7"/>
      <c r="G405" s="55"/>
      <c r="H405" s="7"/>
      <c r="I405" s="13"/>
    </row>
    <row r="406" ht="52.5" customHeight="1">
      <c r="A406" s="53"/>
      <c r="B406" s="53" t="s">
        <v>931</v>
      </c>
      <c r="C406" s="54" t="s">
        <v>932</v>
      </c>
      <c r="D406" s="54">
        <v>1.0</v>
      </c>
      <c r="E406" s="54">
        <v>5.0</v>
      </c>
      <c r="F406" s="7"/>
      <c r="G406" s="55"/>
      <c r="H406" s="7"/>
      <c r="I406" s="13"/>
    </row>
    <row r="407" ht="52.5" customHeight="1">
      <c r="A407" s="53"/>
      <c r="B407" s="53" t="s">
        <v>933</v>
      </c>
      <c r="C407" s="54" t="s">
        <v>934</v>
      </c>
      <c r="D407" s="54">
        <v>1.0</v>
      </c>
      <c r="E407" s="54">
        <v>5.0</v>
      </c>
      <c r="F407" s="7"/>
      <c r="G407" s="55"/>
      <c r="H407" s="7"/>
      <c r="I407" s="13"/>
    </row>
    <row r="408" ht="52.5" customHeight="1">
      <c r="A408" s="53"/>
      <c r="B408" s="53" t="s">
        <v>935</v>
      </c>
      <c r="C408" s="54" t="s">
        <v>936</v>
      </c>
      <c r="D408" s="54">
        <v>1.0</v>
      </c>
      <c r="E408" s="54">
        <v>5.0</v>
      </c>
      <c r="F408" s="7"/>
      <c r="G408" s="55"/>
      <c r="H408" s="7"/>
      <c r="I408" s="13"/>
    </row>
    <row r="409" ht="52.5" customHeight="1">
      <c r="A409" s="53"/>
      <c r="B409" s="53" t="s">
        <v>937</v>
      </c>
      <c r="C409" s="54" t="s">
        <v>938</v>
      </c>
      <c r="D409" s="54">
        <v>1.0</v>
      </c>
      <c r="E409" s="54">
        <v>7.0</v>
      </c>
      <c r="F409" s="7"/>
      <c r="G409" s="55"/>
      <c r="H409" s="7"/>
      <c r="I409" s="13"/>
    </row>
    <row r="410" ht="52.5" customHeight="1">
      <c r="A410" s="53"/>
      <c r="B410" s="53" t="s">
        <v>939</v>
      </c>
      <c r="C410" s="54" t="s">
        <v>940</v>
      </c>
      <c r="D410" s="54">
        <v>1.0</v>
      </c>
      <c r="E410" s="54">
        <v>3.0</v>
      </c>
      <c r="F410" s="7"/>
      <c r="G410" s="55"/>
      <c r="H410" s="7"/>
      <c r="I410" s="13"/>
    </row>
    <row r="411" ht="52.5" customHeight="1">
      <c r="A411" s="53"/>
      <c r="B411" s="53" t="s">
        <v>941</v>
      </c>
      <c r="C411" s="54" t="s">
        <v>942</v>
      </c>
      <c r="D411" s="54">
        <v>1.0</v>
      </c>
      <c r="E411" s="54">
        <v>2.0</v>
      </c>
      <c r="F411" s="7"/>
      <c r="G411" s="55"/>
      <c r="H411" s="7"/>
      <c r="I411" s="13"/>
    </row>
    <row r="412" ht="52.5" customHeight="1">
      <c r="A412" s="53"/>
      <c r="B412" s="53" t="s">
        <v>943</v>
      </c>
      <c r="C412" s="54" t="s">
        <v>944</v>
      </c>
      <c r="D412" s="54">
        <v>1.0</v>
      </c>
      <c r="E412" s="54">
        <v>2.0</v>
      </c>
      <c r="F412" s="7"/>
      <c r="G412" s="55"/>
      <c r="H412" s="7"/>
      <c r="I412" s="13"/>
    </row>
    <row r="413" ht="52.5" customHeight="1">
      <c r="A413" s="53"/>
      <c r="B413" s="53" t="s">
        <v>945</v>
      </c>
      <c r="C413" s="54" t="s">
        <v>946</v>
      </c>
      <c r="D413" s="54">
        <v>1.0</v>
      </c>
      <c r="E413" s="54">
        <v>2.0</v>
      </c>
      <c r="F413" s="7"/>
      <c r="G413" s="55"/>
      <c r="H413" s="7"/>
      <c r="I413" s="13"/>
    </row>
    <row r="414" ht="52.5" customHeight="1">
      <c r="A414" s="53"/>
      <c r="B414" s="53" t="s">
        <v>947</v>
      </c>
      <c r="C414" s="54" t="s">
        <v>948</v>
      </c>
      <c r="D414" s="54">
        <v>1.0</v>
      </c>
      <c r="E414" s="54">
        <v>2.0</v>
      </c>
      <c r="F414" s="7"/>
      <c r="G414" s="55"/>
      <c r="H414" s="7"/>
      <c r="I414" s="13"/>
    </row>
    <row r="415" ht="52.5" customHeight="1">
      <c r="A415" s="53"/>
      <c r="B415" s="53" t="s">
        <v>949</v>
      </c>
      <c r="C415" s="54" t="s">
        <v>950</v>
      </c>
      <c r="D415" s="54">
        <v>1.0</v>
      </c>
      <c r="E415" s="54">
        <v>2.0</v>
      </c>
      <c r="F415" s="7"/>
      <c r="G415" s="55"/>
      <c r="H415" s="7"/>
      <c r="I415" s="13"/>
    </row>
    <row r="416" ht="52.5" customHeight="1">
      <c r="A416" s="53"/>
      <c r="B416" s="53" t="s">
        <v>951</v>
      </c>
      <c r="C416" s="54" t="s">
        <v>952</v>
      </c>
      <c r="D416" s="54">
        <v>1.0</v>
      </c>
      <c r="E416" s="54">
        <v>2.0</v>
      </c>
      <c r="F416" s="7"/>
      <c r="G416" s="55"/>
      <c r="H416" s="7"/>
      <c r="I416" s="13"/>
    </row>
    <row r="417" ht="52.5" customHeight="1">
      <c r="A417" s="53"/>
      <c r="B417" s="53" t="s">
        <v>953</v>
      </c>
      <c r="C417" s="54" t="s">
        <v>954</v>
      </c>
      <c r="D417" s="54">
        <v>1.0</v>
      </c>
      <c r="E417" s="54">
        <v>2.0</v>
      </c>
      <c r="F417" s="7"/>
      <c r="G417" s="55"/>
      <c r="H417" s="7"/>
      <c r="I417" s="13"/>
    </row>
    <row r="418" ht="52.5" customHeight="1">
      <c r="A418" s="53"/>
      <c r="B418" s="53" t="s">
        <v>955</v>
      </c>
      <c r="C418" s="54" t="s">
        <v>956</v>
      </c>
      <c r="D418" s="54">
        <v>1.0</v>
      </c>
      <c r="E418" s="54">
        <v>2.0</v>
      </c>
      <c r="F418" s="7"/>
      <c r="G418" s="55"/>
      <c r="H418" s="7"/>
      <c r="I418" s="13"/>
    </row>
    <row r="419" ht="52.5" customHeight="1">
      <c r="A419" s="53"/>
      <c r="B419" s="53" t="s">
        <v>957</v>
      </c>
      <c r="C419" s="54" t="s">
        <v>958</v>
      </c>
      <c r="D419" s="54">
        <v>1.0</v>
      </c>
      <c r="E419" s="54">
        <v>2.0</v>
      </c>
      <c r="F419" s="7"/>
      <c r="G419" s="55"/>
      <c r="H419" s="7"/>
      <c r="I419" s="13"/>
    </row>
    <row r="420" ht="52.5" customHeight="1">
      <c r="A420" s="53"/>
      <c r="B420" s="53" t="s">
        <v>959</v>
      </c>
      <c r="C420" s="54" t="s">
        <v>960</v>
      </c>
      <c r="D420" s="54">
        <v>1.0</v>
      </c>
      <c r="E420" s="54">
        <v>2.0</v>
      </c>
      <c r="F420" s="7"/>
      <c r="G420" s="55"/>
      <c r="H420" s="7"/>
      <c r="I420" s="13"/>
    </row>
    <row r="421" ht="52.5" customHeight="1">
      <c r="A421" s="53"/>
      <c r="B421" s="53" t="s">
        <v>961</v>
      </c>
      <c r="C421" s="54" t="s">
        <v>962</v>
      </c>
      <c r="D421" s="54">
        <v>1.0</v>
      </c>
      <c r="E421" s="54">
        <v>2.0</v>
      </c>
      <c r="F421" s="7"/>
      <c r="G421" s="55"/>
      <c r="H421" s="7"/>
      <c r="I421" s="13"/>
    </row>
    <row r="422" ht="52.5" customHeight="1">
      <c r="A422" s="53"/>
      <c r="B422" s="53" t="s">
        <v>963</v>
      </c>
      <c r="C422" s="54" t="s">
        <v>964</v>
      </c>
      <c r="D422" s="54">
        <v>1.0</v>
      </c>
      <c r="E422" s="54">
        <v>2.0</v>
      </c>
      <c r="F422" s="7"/>
      <c r="G422" s="55"/>
      <c r="H422" s="7"/>
      <c r="I422" s="13"/>
    </row>
    <row r="423" ht="52.5" customHeight="1">
      <c r="A423" s="53"/>
      <c r="B423" s="53" t="s">
        <v>965</v>
      </c>
      <c r="C423" s="54" t="s">
        <v>966</v>
      </c>
      <c r="D423" s="54">
        <v>1.0</v>
      </c>
      <c r="E423" s="54">
        <v>2.0</v>
      </c>
      <c r="F423" s="7"/>
      <c r="G423" s="55"/>
      <c r="H423" s="7"/>
      <c r="I423" s="13"/>
    </row>
    <row r="424" ht="52.5" customHeight="1">
      <c r="A424" s="53"/>
      <c r="B424" s="53" t="s">
        <v>967</v>
      </c>
      <c r="C424" s="54" t="s">
        <v>968</v>
      </c>
      <c r="D424" s="54">
        <v>1.0</v>
      </c>
      <c r="E424" s="54">
        <v>2.0</v>
      </c>
      <c r="F424" s="7"/>
      <c r="G424" s="55"/>
      <c r="H424" s="7"/>
      <c r="I424" s="13"/>
    </row>
    <row r="425" ht="52.5" customHeight="1">
      <c r="A425" s="53"/>
      <c r="B425" s="53" t="s">
        <v>969</v>
      </c>
      <c r="C425" s="54" t="s">
        <v>970</v>
      </c>
      <c r="D425" s="54">
        <v>1.0</v>
      </c>
      <c r="E425" s="54">
        <v>2.0</v>
      </c>
      <c r="F425" s="7"/>
      <c r="G425" s="55"/>
      <c r="H425" s="7"/>
      <c r="I425" s="13"/>
    </row>
    <row r="426" ht="52.5" customHeight="1">
      <c r="A426" s="53"/>
      <c r="B426" s="53" t="s">
        <v>971</v>
      </c>
      <c r="C426" s="54" t="s">
        <v>972</v>
      </c>
      <c r="D426" s="54">
        <v>1.0</v>
      </c>
      <c r="E426" s="54">
        <v>2.0</v>
      </c>
      <c r="F426" s="7"/>
      <c r="G426" s="55"/>
      <c r="H426" s="7"/>
      <c r="I426" s="13"/>
    </row>
    <row r="427" ht="52.5" customHeight="1">
      <c r="A427" s="53"/>
      <c r="B427" s="53" t="s">
        <v>973</v>
      </c>
      <c r="C427" s="54" t="s">
        <v>974</v>
      </c>
      <c r="D427" s="54">
        <v>1.0</v>
      </c>
      <c r="E427" s="54">
        <v>2.0</v>
      </c>
      <c r="F427" s="7"/>
      <c r="G427" s="55"/>
      <c r="H427" s="7"/>
      <c r="I427" s="13"/>
    </row>
    <row r="428" ht="52.5" customHeight="1">
      <c r="A428" s="53"/>
      <c r="B428" s="53" t="s">
        <v>975</v>
      </c>
      <c r="C428" s="54" t="s">
        <v>976</v>
      </c>
      <c r="D428" s="54">
        <v>1.0</v>
      </c>
      <c r="E428" s="54">
        <v>3.0</v>
      </c>
      <c r="F428" s="7"/>
      <c r="G428" s="55"/>
      <c r="H428" s="7"/>
      <c r="I428" s="13"/>
    </row>
    <row r="429" ht="52.5" customHeight="1">
      <c r="A429" s="53"/>
      <c r="B429" s="53" t="s">
        <v>977</v>
      </c>
      <c r="C429" s="54" t="s">
        <v>978</v>
      </c>
      <c r="D429" s="54">
        <v>1.0</v>
      </c>
      <c r="E429" s="54">
        <v>2.0</v>
      </c>
      <c r="F429" s="7"/>
      <c r="G429" s="55"/>
      <c r="H429" s="7"/>
      <c r="I429" s="13"/>
    </row>
    <row r="430" ht="52.5" customHeight="1">
      <c r="A430" s="53"/>
      <c r="B430" s="53" t="s">
        <v>979</v>
      </c>
      <c r="C430" s="54" t="s">
        <v>980</v>
      </c>
      <c r="D430" s="54">
        <v>1.0</v>
      </c>
      <c r="E430" s="54">
        <v>2.0</v>
      </c>
      <c r="F430" s="7"/>
      <c r="G430" s="55"/>
      <c r="H430" s="7"/>
      <c r="I430" s="13"/>
    </row>
    <row r="431" ht="52.5" customHeight="1">
      <c r="A431" s="53"/>
      <c r="B431" s="53" t="s">
        <v>981</v>
      </c>
      <c r="C431" s="54" t="s">
        <v>982</v>
      </c>
      <c r="D431" s="54">
        <v>1.0</v>
      </c>
      <c r="E431" s="54">
        <v>2.0</v>
      </c>
      <c r="F431" s="7"/>
      <c r="G431" s="55"/>
      <c r="H431" s="7"/>
      <c r="I431" s="13"/>
    </row>
    <row r="432" ht="52.5" customHeight="1">
      <c r="A432" s="53"/>
      <c r="B432" s="53" t="s">
        <v>983</v>
      </c>
      <c r="C432" s="54" t="s">
        <v>984</v>
      </c>
      <c r="D432" s="54">
        <v>1.0</v>
      </c>
      <c r="E432" s="54">
        <v>2.0</v>
      </c>
      <c r="F432" s="7"/>
      <c r="G432" s="55"/>
      <c r="H432" s="7"/>
      <c r="I432" s="13"/>
    </row>
    <row r="433" ht="52.5" customHeight="1">
      <c r="A433" s="53"/>
      <c r="B433" s="53" t="s">
        <v>985</v>
      </c>
      <c r="C433" s="54" t="s">
        <v>986</v>
      </c>
      <c r="D433" s="54">
        <v>1.0</v>
      </c>
      <c r="E433" s="54">
        <v>2.0</v>
      </c>
      <c r="F433" s="7"/>
      <c r="G433" s="55"/>
      <c r="H433" s="7"/>
      <c r="I433" s="13"/>
    </row>
    <row r="434" ht="52.5" customHeight="1">
      <c r="A434" s="53"/>
      <c r="B434" s="53" t="s">
        <v>987</v>
      </c>
      <c r="C434" s="54" t="s">
        <v>988</v>
      </c>
      <c r="D434" s="54">
        <v>1.0</v>
      </c>
      <c r="E434" s="54">
        <v>2.0</v>
      </c>
      <c r="F434" s="7"/>
      <c r="G434" s="55"/>
      <c r="H434" s="7"/>
      <c r="I434" s="13"/>
    </row>
    <row r="435" ht="52.5" customHeight="1">
      <c r="A435" s="53"/>
      <c r="B435" s="53" t="s">
        <v>989</v>
      </c>
      <c r="C435" s="54" t="s">
        <v>990</v>
      </c>
      <c r="D435" s="54">
        <v>1.0</v>
      </c>
      <c r="E435" s="54">
        <v>2.0</v>
      </c>
      <c r="F435" s="7"/>
      <c r="G435" s="55"/>
      <c r="H435" s="7"/>
      <c r="I435" s="13"/>
    </row>
    <row r="436" ht="52.5" customHeight="1">
      <c r="A436" s="53"/>
      <c r="B436" s="53" t="s">
        <v>991</v>
      </c>
      <c r="C436" s="54" t="s">
        <v>992</v>
      </c>
      <c r="D436" s="54">
        <v>1.0</v>
      </c>
      <c r="E436" s="54">
        <v>2.0</v>
      </c>
      <c r="F436" s="7"/>
      <c r="G436" s="55"/>
      <c r="H436" s="7"/>
      <c r="I436" s="13"/>
    </row>
    <row r="437" ht="52.5" customHeight="1">
      <c r="A437" s="53"/>
      <c r="B437" s="53" t="s">
        <v>993</v>
      </c>
      <c r="C437" s="54" t="s">
        <v>994</v>
      </c>
      <c r="D437" s="54">
        <v>1.0</v>
      </c>
      <c r="E437" s="54">
        <v>2.0</v>
      </c>
      <c r="F437" s="7"/>
      <c r="G437" s="55"/>
      <c r="H437" s="7"/>
      <c r="I437" s="13"/>
    </row>
    <row r="438" ht="52.5" customHeight="1">
      <c r="A438" s="53"/>
      <c r="B438" s="53" t="s">
        <v>995</v>
      </c>
      <c r="C438" s="54" t="s">
        <v>996</v>
      </c>
      <c r="D438" s="54">
        <v>1.0</v>
      </c>
      <c r="E438" s="54">
        <v>2.0</v>
      </c>
      <c r="F438" s="7"/>
      <c r="G438" s="55"/>
      <c r="H438" s="7"/>
      <c r="I438" s="13"/>
    </row>
    <row r="439" ht="52.5" customHeight="1">
      <c r="A439" s="53"/>
      <c r="B439" s="53" t="s">
        <v>997</v>
      </c>
      <c r="C439" s="54" t="s">
        <v>998</v>
      </c>
      <c r="D439" s="54">
        <v>1.0</v>
      </c>
      <c r="E439" s="54">
        <v>1.0</v>
      </c>
      <c r="F439" s="7"/>
      <c r="G439" s="55"/>
      <c r="H439" s="7"/>
      <c r="I439" s="13"/>
    </row>
    <row r="440" ht="52.5" customHeight="1">
      <c r="A440" s="53"/>
      <c r="B440" s="53" t="s">
        <v>999</v>
      </c>
      <c r="C440" s="54" t="s">
        <v>1000</v>
      </c>
      <c r="D440" s="54">
        <v>1.0</v>
      </c>
      <c r="E440" s="54">
        <v>3.0</v>
      </c>
      <c r="F440" s="7"/>
      <c r="G440" s="55"/>
      <c r="H440" s="7"/>
      <c r="I440" s="13"/>
    </row>
    <row r="441" ht="52.5" customHeight="1">
      <c r="A441" s="53"/>
      <c r="B441" s="53" t="s">
        <v>1001</v>
      </c>
      <c r="C441" s="54" t="s">
        <v>1002</v>
      </c>
      <c r="D441" s="54">
        <v>1.0</v>
      </c>
      <c r="E441" s="54">
        <v>4.0</v>
      </c>
      <c r="F441" s="7"/>
      <c r="G441" s="55"/>
      <c r="H441" s="7"/>
      <c r="I441" s="13"/>
    </row>
    <row r="442" ht="52.5" customHeight="1">
      <c r="A442" s="53"/>
      <c r="B442" s="53" t="s">
        <v>1003</v>
      </c>
      <c r="C442" s="54" t="s">
        <v>1004</v>
      </c>
      <c r="D442" s="54">
        <v>1.0</v>
      </c>
      <c r="E442" s="54">
        <v>2.0</v>
      </c>
      <c r="F442" s="7"/>
      <c r="G442" s="55"/>
      <c r="H442" s="7"/>
      <c r="I442" s="13"/>
    </row>
    <row r="443" ht="52.5" customHeight="1">
      <c r="A443" s="56"/>
      <c r="B443" s="53" t="s">
        <v>1005</v>
      </c>
      <c r="C443" s="54" t="s">
        <v>1006</v>
      </c>
      <c r="D443" s="54">
        <v>1.0</v>
      </c>
      <c r="E443" s="54">
        <v>6.0</v>
      </c>
      <c r="F443" s="7"/>
      <c r="G443" s="55"/>
      <c r="H443" s="7"/>
      <c r="I443" s="13"/>
    </row>
    <row r="444" ht="52.5" customHeight="1">
      <c r="A444" s="56"/>
      <c r="B444" s="53" t="s">
        <v>1007</v>
      </c>
      <c r="C444" s="54" t="s">
        <v>1008</v>
      </c>
      <c r="D444" s="54">
        <v>1.0</v>
      </c>
      <c r="E444" s="54">
        <v>3.0</v>
      </c>
      <c r="F444" s="7"/>
      <c r="G444" s="55"/>
      <c r="H444" s="7"/>
      <c r="I444" s="13"/>
    </row>
    <row r="445" ht="52.5" customHeight="1">
      <c r="A445" s="56"/>
      <c r="B445" s="53" t="s">
        <v>1009</v>
      </c>
      <c r="C445" s="54" t="s">
        <v>1010</v>
      </c>
      <c r="D445" s="54">
        <v>1.0</v>
      </c>
      <c r="E445" s="54">
        <v>5.0</v>
      </c>
      <c r="F445" s="7"/>
      <c r="G445" s="55"/>
      <c r="H445" s="7"/>
      <c r="I445" s="13"/>
    </row>
    <row r="446" ht="52.5" customHeight="1">
      <c r="A446" s="56"/>
      <c r="B446" s="53" t="s">
        <v>1011</v>
      </c>
      <c r="C446" s="54" t="s">
        <v>1012</v>
      </c>
      <c r="D446" s="54">
        <v>1.0</v>
      </c>
      <c r="E446" s="54">
        <v>6.0</v>
      </c>
      <c r="F446" s="7"/>
      <c r="G446" s="55"/>
      <c r="H446" s="7"/>
      <c r="I446" s="13"/>
    </row>
    <row r="447" ht="52.5" customHeight="1">
      <c r="A447" s="56"/>
      <c r="B447" s="53" t="s">
        <v>1013</v>
      </c>
      <c r="C447" s="54" t="s">
        <v>1014</v>
      </c>
      <c r="D447" s="54">
        <v>1.0</v>
      </c>
      <c r="E447" s="54">
        <v>2.0</v>
      </c>
      <c r="F447" s="7"/>
      <c r="G447" s="55"/>
      <c r="H447" s="7"/>
      <c r="I447" s="13"/>
    </row>
    <row r="448" ht="52.5" customHeight="1">
      <c r="A448" s="56"/>
      <c r="B448" s="53" t="s">
        <v>1015</v>
      </c>
      <c r="C448" s="54" t="s">
        <v>1016</v>
      </c>
      <c r="D448" s="54">
        <v>1.0</v>
      </c>
      <c r="E448" s="54">
        <v>3.0</v>
      </c>
      <c r="F448" s="7"/>
      <c r="G448" s="55"/>
      <c r="H448" s="7"/>
      <c r="I448" s="13"/>
    </row>
    <row r="449" ht="52.5" customHeight="1">
      <c r="A449" s="56"/>
      <c r="B449" s="53" t="s">
        <v>1017</v>
      </c>
      <c r="C449" s="54" t="s">
        <v>1018</v>
      </c>
      <c r="D449" s="54">
        <v>1.0</v>
      </c>
      <c r="E449" s="54">
        <v>4.0</v>
      </c>
      <c r="F449" s="7"/>
      <c r="G449" s="55"/>
      <c r="H449" s="7"/>
      <c r="I449" s="13"/>
    </row>
    <row r="450" ht="52.5" customHeight="1">
      <c r="A450" s="56"/>
      <c r="B450" s="53" t="s">
        <v>1019</v>
      </c>
      <c r="C450" s="54" t="s">
        <v>1020</v>
      </c>
      <c r="D450" s="54">
        <v>1.0</v>
      </c>
      <c r="E450" s="54">
        <v>7.0</v>
      </c>
      <c r="F450" s="7"/>
      <c r="G450" s="55"/>
      <c r="H450" s="7"/>
      <c r="I450" s="13"/>
    </row>
    <row r="451" ht="52.5" customHeight="1">
      <c r="A451" s="56"/>
      <c r="B451" s="53" t="s">
        <v>1021</v>
      </c>
      <c r="C451" s="54" t="s">
        <v>1022</v>
      </c>
      <c r="D451" s="54">
        <v>1.0</v>
      </c>
      <c r="E451" s="54">
        <v>4.0</v>
      </c>
      <c r="F451" s="7"/>
      <c r="G451" s="55"/>
      <c r="H451" s="7"/>
      <c r="I451" s="13"/>
    </row>
    <row r="452" ht="52.5" customHeight="1">
      <c r="A452" s="56"/>
      <c r="B452" s="53" t="s">
        <v>1023</v>
      </c>
      <c r="C452" s="54" t="s">
        <v>1024</v>
      </c>
      <c r="D452" s="54">
        <v>1.0</v>
      </c>
      <c r="E452" s="54">
        <v>4.0</v>
      </c>
      <c r="F452" s="7"/>
      <c r="G452" s="55"/>
      <c r="H452" s="7"/>
      <c r="I452" s="13"/>
    </row>
    <row r="453" ht="52.5" customHeight="1">
      <c r="A453" s="56"/>
      <c r="B453" s="53" t="s">
        <v>1025</v>
      </c>
      <c r="C453" s="54" t="s">
        <v>1026</v>
      </c>
      <c r="D453" s="54">
        <v>1.0</v>
      </c>
      <c r="E453" s="54">
        <v>6.0</v>
      </c>
      <c r="F453" s="7"/>
      <c r="G453" s="55"/>
      <c r="H453" s="7"/>
      <c r="I453" s="13"/>
    </row>
    <row r="454" ht="52.5" customHeight="1">
      <c r="A454" s="56"/>
      <c r="B454" s="53" t="s">
        <v>1027</v>
      </c>
      <c r="C454" s="54" t="s">
        <v>1028</v>
      </c>
      <c r="D454" s="54">
        <v>1.0</v>
      </c>
      <c r="E454" s="54">
        <v>5.0</v>
      </c>
      <c r="F454" s="7"/>
      <c r="G454" s="55"/>
      <c r="H454" s="7"/>
      <c r="I454" s="13"/>
    </row>
    <row r="455" ht="52.5" customHeight="1">
      <c r="A455" s="56"/>
      <c r="B455" s="53" t="s">
        <v>1029</v>
      </c>
      <c r="C455" s="54" t="s">
        <v>1030</v>
      </c>
      <c r="D455" s="54">
        <v>1.0</v>
      </c>
      <c r="E455" s="54">
        <v>4.0</v>
      </c>
      <c r="F455" s="7"/>
      <c r="G455" s="55"/>
      <c r="H455" s="7"/>
      <c r="I455" s="13"/>
    </row>
    <row r="456" ht="52.5" customHeight="1">
      <c r="A456" s="56"/>
      <c r="B456" s="53" t="s">
        <v>1031</v>
      </c>
      <c r="C456" s="54" t="s">
        <v>1032</v>
      </c>
      <c r="D456" s="54">
        <v>1.0</v>
      </c>
      <c r="E456" s="54">
        <v>2.0</v>
      </c>
      <c r="F456" s="7"/>
      <c r="G456" s="55"/>
      <c r="H456" s="7"/>
      <c r="I456" s="13"/>
    </row>
    <row r="457" ht="52.5" customHeight="1">
      <c r="A457" s="56"/>
      <c r="B457" s="53" t="s">
        <v>1033</v>
      </c>
      <c r="C457" s="54" t="s">
        <v>1034</v>
      </c>
      <c r="D457" s="54">
        <v>1.0</v>
      </c>
      <c r="E457" s="54">
        <v>1.0</v>
      </c>
      <c r="F457" s="7"/>
      <c r="G457" s="55"/>
      <c r="H457" s="7"/>
      <c r="I457" s="13"/>
    </row>
    <row r="458" ht="52.5" customHeight="1">
      <c r="A458" s="56"/>
      <c r="B458" s="53" t="s">
        <v>1035</v>
      </c>
      <c r="C458" s="54" t="s">
        <v>1036</v>
      </c>
      <c r="D458" s="54">
        <v>1.0</v>
      </c>
      <c r="E458" s="54">
        <v>2.0</v>
      </c>
      <c r="F458" s="7"/>
      <c r="G458" s="55"/>
      <c r="H458" s="7"/>
      <c r="I458" s="13"/>
    </row>
    <row r="459" ht="52.5" customHeight="1">
      <c r="A459" s="56"/>
      <c r="B459" s="53" t="s">
        <v>1037</v>
      </c>
      <c r="C459" s="54" t="s">
        <v>1038</v>
      </c>
      <c r="D459" s="54">
        <v>1.0</v>
      </c>
      <c r="E459" s="54">
        <v>4.0</v>
      </c>
      <c r="F459" s="7"/>
      <c r="G459" s="55"/>
      <c r="H459" s="7"/>
      <c r="I459" s="13"/>
    </row>
    <row r="460" ht="52.5" customHeight="1">
      <c r="A460" s="56"/>
      <c r="B460" s="53" t="s">
        <v>1039</v>
      </c>
      <c r="C460" s="54" t="s">
        <v>1040</v>
      </c>
      <c r="D460" s="54">
        <v>1.0</v>
      </c>
      <c r="E460" s="54">
        <v>4.0</v>
      </c>
      <c r="F460" s="7"/>
      <c r="G460" s="55"/>
      <c r="H460" s="7"/>
      <c r="I460" s="13"/>
    </row>
    <row r="461" ht="52.5" customHeight="1">
      <c r="A461" s="56"/>
      <c r="B461" s="53" t="s">
        <v>1041</v>
      </c>
      <c r="C461" s="54" t="s">
        <v>1042</v>
      </c>
      <c r="D461" s="54">
        <v>1.0</v>
      </c>
      <c r="E461" s="54">
        <v>5.0</v>
      </c>
      <c r="F461" s="7"/>
      <c r="G461" s="55"/>
      <c r="H461" s="7"/>
      <c r="I461" s="13"/>
    </row>
    <row r="462" ht="52.5" customHeight="1">
      <c r="A462" s="56"/>
      <c r="B462" s="53" t="s">
        <v>1043</v>
      </c>
      <c r="C462" s="54" t="s">
        <v>1044</v>
      </c>
      <c r="D462" s="54">
        <v>1.0</v>
      </c>
      <c r="E462" s="54">
        <v>2.0</v>
      </c>
      <c r="F462" s="7"/>
      <c r="G462" s="55"/>
      <c r="H462" s="7"/>
      <c r="I462" s="13"/>
    </row>
    <row r="463" ht="52.5" customHeight="1">
      <c r="A463" s="56"/>
      <c r="B463" s="53" t="s">
        <v>1045</v>
      </c>
      <c r="C463" s="54" t="s">
        <v>1046</v>
      </c>
      <c r="D463" s="54">
        <v>1.0</v>
      </c>
      <c r="E463" s="54">
        <v>2.0</v>
      </c>
      <c r="F463" s="7"/>
      <c r="G463" s="55"/>
      <c r="H463" s="7"/>
      <c r="I463" s="13"/>
    </row>
    <row r="464" ht="52.5" customHeight="1">
      <c r="A464" s="56"/>
      <c r="B464" s="53" t="s">
        <v>1047</v>
      </c>
      <c r="C464" s="54" t="s">
        <v>1048</v>
      </c>
      <c r="D464" s="54">
        <v>1.0</v>
      </c>
      <c r="E464" s="54">
        <v>2.0</v>
      </c>
      <c r="F464" s="7"/>
      <c r="G464" s="55"/>
      <c r="H464" s="7"/>
      <c r="I464" s="13"/>
    </row>
    <row r="465" ht="52.5" customHeight="1">
      <c r="A465" s="56"/>
      <c r="B465" s="53" t="s">
        <v>1049</v>
      </c>
      <c r="C465" s="54" t="s">
        <v>1050</v>
      </c>
      <c r="D465" s="54">
        <v>1.0</v>
      </c>
      <c r="E465" s="54">
        <v>3.0</v>
      </c>
      <c r="F465" s="7"/>
      <c r="G465" s="55"/>
      <c r="H465" s="7"/>
      <c r="I465" s="13"/>
    </row>
    <row r="466" ht="52.5" customHeight="1">
      <c r="A466" s="56"/>
      <c r="B466" s="53" t="s">
        <v>1051</v>
      </c>
      <c r="C466" s="54" t="s">
        <v>1052</v>
      </c>
      <c r="D466" s="54">
        <v>1.0</v>
      </c>
      <c r="E466" s="54">
        <v>2.0</v>
      </c>
      <c r="F466" s="7"/>
      <c r="G466" s="55"/>
      <c r="H466" s="7"/>
      <c r="I466" s="13"/>
    </row>
    <row r="467" ht="52.5" customHeight="1">
      <c r="A467" s="18"/>
      <c r="B467" s="19" t="s">
        <v>1053</v>
      </c>
      <c r="C467" s="20" t="s">
        <v>1054</v>
      </c>
      <c r="D467" s="26">
        <v>1.0</v>
      </c>
      <c r="E467" s="26">
        <v>73.0</v>
      </c>
      <c r="F467" s="31"/>
      <c r="G467" s="32">
        <v>1.49</v>
      </c>
      <c r="H467" s="31"/>
      <c r="I467" s="13"/>
    </row>
    <row r="468" ht="52.5" customHeight="1">
      <c r="A468" s="6"/>
      <c r="B468" s="19" t="s">
        <v>1055</v>
      </c>
      <c r="C468" s="20" t="s">
        <v>1056</v>
      </c>
      <c r="D468" s="10">
        <v>1.0</v>
      </c>
      <c r="E468" s="10">
        <v>3.0</v>
      </c>
      <c r="F468" s="13"/>
      <c r="G468" s="14">
        <v>14.5</v>
      </c>
      <c r="H468" s="13"/>
      <c r="I468" s="13"/>
    </row>
    <row r="469" ht="52.5" customHeight="1">
      <c r="A469" s="6"/>
      <c r="B469" s="19" t="s">
        <v>1057</v>
      </c>
      <c r="C469" s="20" t="s">
        <v>1058</v>
      </c>
      <c r="D469" s="10">
        <v>1.0</v>
      </c>
      <c r="E469" s="10">
        <v>40.0</v>
      </c>
      <c r="F469" s="13"/>
      <c r="G469" s="14">
        <v>2.75</v>
      </c>
      <c r="H469" s="13"/>
      <c r="I469" s="13"/>
    </row>
    <row r="470" ht="52.5" customHeight="1">
      <c r="A470" s="6"/>
      <c r="B470" s="19" t="s">
        <v>1059</v>
      </c>
      <c r="C470" s="20" t="s">
        <v>1060</v>
      </c>
      <c r="D470" s="10">
        <v>1.0</v>
      </c>
      <c r="E470" s="10">
        <v>3.0</v>
      </c>
      <c r="F470" s="13"/>
      <c r="G470" s="14">
        <v>2.06</v>
      </c>
      <c r="H470" s="13"/>
      <c r="I470" s="13"/>
    </row>
    <row r="471" ht="52.5" customHeight="1">
      <c r="A471" s="56"/>
      <c r="B471" s="53" t="s">
        <v>1061</v>
      </c>
      <c r="C471" s="54" t="s">
        <v>1062</v>
      </c>
      <c r="D471" s="54">
        <v>1.0</v>
      </c>
      <c r="E471" s="54">
        <v>1.0</v>
      </c>
      <c r="F471" s="7"/>
      <c r="G471" s="55"/>
      <c r="H471" s="7"/>
      <c r="I471" s="13"/>
    </row>
    <row r="472" ht="52.5" customHeight="1">
      <c r="A472" s="56"/>
      <c r="B472" s="53" t="s">
        <v>1063</v>
      </c>
      <c r="C472" s="54" t="s">
        <v>1064</v>
      </c>
      <c r="D472" s="54">
        <v>1.0</v>
      </c>
      <c r="E472" s="54">
        <v>2.0</v>
      </c>
      <c r="F472" s="7"/>
      <c r="G472" s="55"/>
      <c r="H472" s="7"/>
      <c r="I472" s="13"/>
    </row>
    <row r="473" ht="52.5" customHeight="1">
      <c r="A473" s="56"/>
      <c r="B473" s="53" t="s">
        <v>1065</v>
      </c>
      <c r="C473" s="54" t="s">
        <v>1066</v>
      </c>
      <c r="D473" s="54">
        <v>1.0</v>
      </c>
      <c r="E473" s="54">
        <v>1.0</v>
      </c>
      <c r="F473" s="7"/>
      <c r="G473" s="55"/>
      <c r="H473" s="7"/>
      <c r="I473" s="13"/>
    </row>
    <row r="474" ht="52.5" customHeight="1">
      <c r="A474" s="56"/>
      <c r="B474" s="53" t="s">
        <v>1067</v>
      </c>
      <c r="C474" s="54" t="s">
        <v>1068</v>
      </c>
      <c r="D474" s="54">
        <v>1.0</v>
      </c>
      <c r="E474" s="54">
        <v>2.0</v>
      </c>
      <c r="F474" s="7"/>
      <c r="G474" s="55"/>
      <c r="H474" s="7"/>
      <c r="I474" s="13"/>
    </row>
    <row r="475" ht="52.5" customHeight="1">
      <c r="A475" s="56"/>
      <c r="B475" s="53" t="s">
        <v>1069</v>
      </c>
      <c r="C475" s="54" t="s">
        <v>1070</v>
      </c>
      <c r="D475" s="54">
        <v>1.0</v>
      </c>
      <c r="E475" s="54">
        <v>2.0</v>
      </c>
      <c r="F475" s="7"/>
      <c r="G475" s="55"/>
      <c r="H475" s="7"/>
      <c r="I475" s="13"/>
    </row>
    <row r="476" ht="52.5" customHeight="1">
      <c r="A476" s="56"/>
      <c r="B476" s="53" t="s">
        <v>1071</v>
      </c>
      <c r="C476" s="54" t="s">
        <v>1072</v>
      </c>
      <c r="D476" s="54">
        <v>1.0</v>
      </c>
      <c r="E476" s="54">
        <v>1.0</v>
      </c>
      <c r="F476" s="7"/>
      <c r="G476" s="55"/>
      <c r="H476" s="7"/>
      <c r="I476" s="13"/>
    </row>
    <row r="477" ht="52.5" customHeight="1">
      <c r="A477" s="6"/>
      <c r="B477" s="19" t="s">
        <v>1073</v>
      </c>
      <c r="C477" s="20" t="s">
        <v>1074</v>
      </c>
      <c r="D477" s="10">
        <v>1.0</v>
      </c>
      <c r="E477" s="10">
        <v>18.0</v>
      </c>
      <c r="F477" s="13"/>
      <c r="G477" s="14">
        <v>6.7</v>
      </c>
      <c r="H477" s="13"/>
      <c r="I477" s="13"/>
    </row>
    <row r="478" ht="52.5" customHeight="1">
      <c r="A478" s="6"/>
      <c r="B478" s="19" t="s">
        <v>1075</v>
      </c>
      <c r="C478" s="20" t="s">
        <v>1076</v>
      </c>
      <c r="D478" s="10">
        <v>1.0</v>
      </c>
      <c r="E478" s="10">
        <v>144.0</v>
      </c>
      <c r="F478" s="13"/>
      <c r="G478" s="14">
        <v>7.4</v>
      </c>
      <c r="H478" s="13"/>
      <c r="I478" s="13"/>
    </row>
    <row r="479" ht="52.5" customHeight="1">
      <c r="A479" s="6"/>
      <c r="B479" s="19" t="s">
        <v>1077</v>
      </c>
      <c r="C479" s="20" t="s">
        <v>1078</v>
      </c>
      <c r="D479" s="10">
        <v>1.0</v>
      </c>
      <c r="E479" s="10">
        <v>144.0</v>
      </c>
      <c r="F479" s="13"/>
      <c r="G479" s="14">
        <v>8.6</v>
      </c>
      <c r="H479" s="13"/>
      <c r="I479" s="13"/>
    </row>
    <row r="480" ht="52.5" customHeight="1">
      <c r="A480" s="6"/>
      <c r="B480" s="19" t="s">
        <v>1079</v>
      </c>
      <c r="C480" s="20" t="s">
        <v>1080</v>
      </c>
      <c r="D480" s="10">
        <v>1.0</v>
      </c>
      <c r="E480" s="10">
        <v>72.0</v>
      </c>
      <c r="F480" s="13"/>
      <c r="G480" s="14">
        <v>13.5</v>
      </c>
      <c r="H480" s="13"/>
      <c r="I480" s="13"/>
    </row>
    <row r="481" ht="52.5" customHeight="1">
      <c r="A481" s="6"/>
      <c r="B481" s="19" t="s">
        <v>1081</v>
      </c>
      <c r="C481" s="20" t="s">
        <v>1082</v>
      </c>
      <c r="D481" s="10">
        <v>1.0</v>
      </c>
      <c r="E481" s="10">
        <v>72.0</v>
      </c>
      <c r="F481" s="13"/>
      <c r="G481" s="14">
        <v>45.0</v>
      </c>
      <c r="H481" s="13"/>
      <c r="I481" s="13"/>
    </row>
    <row r="482" ht="52.5" customHeight="1">
      <c r="A482" s="6"/>
      <c r="B482" s="19" t="s">
        <v>1083</v>
      </c>
      <c r="C482" s="20" t="s">
        <v>1084</v>
      </c>
      <c r="D482" s="10">
        <v>1.0</v>
      </c>
      <c r="E482" s="10">
        <v>10.0</v>
      </c>
      <c r="F482" s="13"/>
      <c r="G482" s="14">
        <v>15.2</v>
      </c>
      <c r="H482" s="13"/>
      <c r="I482" s="13"/>
    </row>
    <row r="483" ht="52.5" customHeight="1">
      <c r="A483" s="56"/>
      <c r="B483" s="53" t="s">
        <v>1085</v>
      </c>
      <c r="C483" s="54" t="s">
        <v>1086</v>
      </c>
      <c r="D483" s="54">
        <v>1.0</v>
      </c>
      <c r="E483" s="54">
        <v>1.0</v>
      </c>
      <c r="F483" s="7"/>
      <c r="G483" s="55"/>
      <c r="H483" s="7"/>
      <c r="I483" s="13"/>
    </row>
    <row r="484" ht="52.5" customHeight="1">
      <c r="A484" s="6"/>
      <c r="B484" s="19" t="s">
        <v>1087</v>
      </c>
      <c r="C484" s="20" t="s">
        <v>1088</v>
      </c>
      <c r="D484" s="10">
        <v>1.0</v>
      </c>
      <c r="E484" s="10">
        <v>12.0</v>
      </c>
      <c r="F484" s="13"/>
      <c r="G484" s="14">
        <v>3.48</v>
      </c>
      <c r="H484" s="13"/>
      <c r="I484" s="13"/>
    </row>
    <row r="485" ht="52.5" customHeight="1">
      <c r="A485" s="6"/>
      <c r="B485" s="19" t="s">
        <v>1089</v>
      </c>
      <c r="C485" s="20" t="s">
        <v>1090</v>
      </c>
      <c r="D485" s="10">
        <v>1.0</v>
      </c>
      <c r="E485" s="10">
        <v>36.0</v>
      </c>
      <c r="F485" s="13"/>
      <c r="G485" s="14">
        <v>14.2</v>
      </c>
      <c r="H485" s="13"/>
      <c r="I485" s="13"/>
    </row>
    <row r="486" ht="52.5" customHeight="1">
      <c r="A486" s="6"/>
      <c r="B486" s="19" t="s">
        <v>1091</v>
      </c>
      <c r="C486" s="20" t="s">
        <v>1092</v>
      </c>
      <c r="D486" s="10">
        <v>1.0</v>
      </c>
      <c r="E486" s="10">
        <v>36.0</v>
      </c>
      <c r="F486" s="13"/>
      <c r="G486" s="14">
        <v>20.8</v>
      </c>
      <c r="H486" s="13"/>
      <c r="I486" s="13"/>
    </row>
    <row r="487" ht="52.5" customHeight="1">
      <c r="A487" s="6"/>
      <c r="B487" s="19" t="s">
        <v>1093</v>
      </c>
      <c r="C487" s="20" t="s">
        <v>1094</v>
      </c>
      <c r="D487" s="10">
        <v>1.0</v>
      </c>
      <c r="E487" s="10">
        <v>10.0</v>
      </c>
      <c r="F487" s="13"/>
      <c r="G487" s="14">
        <v>15.8</v>
      </c>
      <c r="H487" s="13"/>
      <c r="I487" s="13"/>
    </row>
    <row r="488" ht="52.5" customHeight="1">
      <c r="A488" s="6"/>
      <c r="B488" s="19" t="s">
        <v>1095</v>
      </c>
      <c r="C488" s="20" t="s">
        <v>1096</v>
      </c>
      <c r="D488" s="10">
        <v>1.0</v>
      </c>
      <c r="E488" s="10">
        <v>24.0</v>
      </c>
      <c r="F488" s="13"/>
      <c r="G488" s="14">
        <v>16.5</v>
      </c>
      <c r="H488" s="13"/>
      <c r="I488" s="13"/>
    </row>
    <row r="489" ht="52.5" customHeight="1">
      <c r="A489" s="6"/>
      <c r="B489" s="19" t="s">
        <v>1097</v>
      </c>
      <c r="C489" s="20" t="s">
        <v>1098</v>
      </c>
      <c r="D489" s="10">
        <v>1.0</v>
      </c>
      <c r="E489" s="10">
        <v>36.0</v>
      </c>
      <c r="F489" s="13"/>
      <c r="G489" s="14">
        <v>10.15</v>
      </c>
      <c r="H489" s="13"/>
      <c r="I489" s="13"/>
    </row>
    <row r="490" ht="52.5" customHeight="1">
      <c r="A490" s="6"/>
      <c r="B490" s="19" t="s">
        <v>1099</v>
      </c>
      <c r="C490" s="20" t="s">
        <v>1100</v>
      </c>
      <c r="D490" s="10">
        <v>1.0</v>
      </c>
      <c r="E490" s="10">
        <v>36.0</v>
      </c>
      <c r="F490" s="13"/>
      <c r="G490" s="14">
        <v>7.25</v>
      </c>
      <c r="H490" s="13"/>
      <c r="I490" s="13"/>
    </row>
    <row r="491" ht="52.5" customHeight="1">
      <c r="A491" s="6"/>
      <c r="B491" s="19" t="s">
        <v>1101</v>
      </c>
      <c r="C491" s="20" t="s">
        <v>1102</v>
      </c>
      <c r="D491" s="10">
        <v>1.0</v>
      </c>
      <c r="E491" s="10">
        <v>10.0</v>
      </c>
      <c r="F491" s="13"/>
      <c r="G491" s="14">
        <v>20.0</v>
      </c>
      <c r="H491" s="13"/>
      <c r="I491" s="13"/>
    </row>
    <row r="492" ht="52.5" customHeight="1">
      <c r="A492" s="6"/>
      <c r="B492" s="19" t="s">
        <v>1103</v>
      </c>
      <c r="C492" s="20" t="s">
        <v>1104</v>
      </c>
      <c r="D492" s="10">
        <v>1.0</v>
      </c>
      <c r="E492" s="10">
        <v>120.0</v>
      </c>
      <c r="F492" s="13"/>
      <c r="G492" s="14">
        <v>7.6</v>
      </c>
      <c r="H492" s="13"/>
      <c r="I492" s="13"/>
    </row>
    <row r="493" ht="52.5" customHeight="1">
      <c r="A493" s="6"/>
      <c r="B493" s="19" t="s">
        <v>1105</v>
      </c>
      <c r="C493" s="20" t="s">
        <v>1106</v>
      </c>
      <c r="D493" s="10">
        <v>1.0</v>
      </c>
      <c r="E493" s="10">
        <v>1.0</v>
      </c>
      <c r="F493" s="13"/>
      <c r="G493" s="14">
        <v>21.0</v>
      </c>
      <c r="H493" s="13"/>
      <c r="I493" s="13"/>
    </row>
    <row r="494" ht="52.5" customHeight="1">
      <c r="A494" s="57"/>
      <c r="B494" s="58" t="s">
        <v>1107</v>
      </c>
      <c r="C494" s="42" t="s">
        <v>1108</v>
      </c>
      <c r="D494" s="42">
        <v>1.0</v>
      </c>
      <c r="E494" s="42">
        <v>1.0</v>
      </c>
      <c r="F494" s="42" t="s">
        <v>1109</v>
      </c>
      <c r="G494" s="59">
        <v>6.0</v>
      </c>
      <c r="H494" s="60"/>
      <c r="I494" s="60"/>
    </row>
    <row r="495" ht="52.5" customHeight="1">
      <c r="A495" s="6"/>
      <c r="B495" s="19" t="s">
        <v>9</v>
      </c>
      <c r="C495" s="20" t="s">
        <v>10</v>
      </c>
      <c r="D495" s="10">
        <v>1.0</v>
      </c>
      <c r="E495" s="10">
        <v>9.0</v>
      </c>
      <c r="F495" s="13"/>
      <c r="G495" s="14">
        <v>0.0</v>
      </c>
      <c r="H495" s="10" t="s">
        <v>579</v>
      </c>
      <c r="I495" s="13"/>
    </row>
    <row r="496" ht="52.5" customHeight="1">
      <c r="A496" s="6"/>
      <c r="B496" s="19" t="s">
        <v>17</v>
      </c>
      <c r="C496" s="20" t="s">
        <v>18</v>
      </c>
      <c r="D496" s="10">
        <v>1.0</v>
      </c>
      <c r="E496" s="10">
        <v>2.0</v>
      </c>
      <c r="F496" s="13"/>
      <c r="G496" s="14">
        <v>0.0</v>
      </c>
      <c r="H496" s="13"/>
      <c r="I496" s="13"/>
    </row>
    <row r="497" ht="52.5" customHeight="1">
      <c r="A497" s="6"/>
      <c r="B497" s="19" t="s">
        <v>19</v>
      </c>
      <c r="C497" s="20" t="s">
        <v>21</v>
      </c>
      <c r="D497" s="10">
        <v>1.0</v>
      </c>
      <c r="E497" s="10">
        <v>1.0</v>
      </c>
      <c r="F497" s="13"/>
      <c r="G497" s="14">
        <v>0.0</v>
      </c>
      <c r="H497" s="10" t="s">
        <v>579</v>
      </c>
      <c r="I497" s="13"/>
    </row>
    <row r="498" ht="52.5" customHeight="1">
      <c r="A498" s="6"/>
      <c r="B498" s="19" t="s">
        <v>24</v>
      </c>
      <c r="C498" s="20" t="s">
        <v>26</v>
      </c>
      <c r="D498" s="10">
        <v>1.0</v>
      </c>
      <c r="E498" s="10">
        <v>4.0</v>
      </c>
      <c r="F498" s="13"/>
      <c r="G498" s="14">
        <v>0.0</v>
      </c>
      <c r="H498" s="10" t="s">
        <v>579</v>
      </c>
      <c r="I498" s="13"/>
    </row>
    <row r="499" ht="52.5" customHeight="1">
      <c r="A499" s="6"/>
      <c r="B499" s="19" t="s">
        <v>28</v>
      </c>
      <c r="C499" s="20" t="s">
        <v>29</v>
      </c>
      <c r="D499" s="10">
        <v>1.0</v>
      </c>
      <c r="E499" s="10">
        <v>6.0</v>
      </c>
      <c r="F499" s="13"/>
      <c r="G499" s="14">
        <v>0.0</v>
      </c>
      <c r="H499" s="10" t="s">
        <v>579</v>
      </c>
      <c r="I499" s="13"/>
    </row>
    <row r="500" ht="52.5" customHeight="1">
      <c r="A500" s="6"/>
      <c r="B500" s="19" t="s">
        <v>1110</v>
      </c>
      <c r="C500" s="20" t="s">
        <v>31</v>
      </c>
      <c r="D500" s="10">
        <v>1.0</v>
      </c>
      <c r="E500" s="10">
        <v>10.0</v>
      </c>
      <c r="F500" s="13"/>
      <c r="G500" s="14">
        <v>0.0</v>
      </c>
      <c r="H500" s="10" t="s">
        <v>579</v>
      </c>
      <c r="I500" s="13"/>
    </row>
    <row r="501" ht="52.5" customHeight="1">
      <c r="A501" s="6"/>
      <c r="B501" s="19" t="s">
        <v>33</v>
      </c>
      <c r="C501" s="20" t="s">
        <v>34</v>
      </c>
      <c r="D501" s="10">
        <v>1.0</v>
      </c>
      <c r="E501" s="10">
        <v>1.0</v>
      </c>
      <c r="F501" s="13"/>
      <c r="G501" s="14">
        <v>0.0</v>
      </c>
      <c r="H501" s="10" t="s">
        <v>579</v>
      </c>
      <c r="I501" s="13"/>
    </row>
    <row r="502" ht="52.5" customHeight="1">
      <c r="A502" s="6"/>
      <c r="B502" s="19" t="s">
        <v>37</v>
      </c>
      <c r="C502" s="20" t="s">
        <v>38</v>
      </c>
      <c r="D502" s="10">
        <v>1.0</v>
      </c>
      <c r="E502" s="10">
        <v>1.0</v>
      </c>
      <c r="F502" s="13"/>
      <c r="G502" s="14">
        <v>0.0</v>
      </c>
      <c r="H502" s="10" t="s">
        <v>579</v>
      </c>
      <c r="I502" s="13"/>
    </row>
    <row r="503" ht="52.5" customHeight="1">
      <c r="A503" s="6"/>
      <c r="B503" s="19" t="s">
        <v>41</v>
      </c>
      <c r="C503" s="20" t="s">
        <v>42</v>
      </c>
      <c r="D503" s="10">
        <v>1.0</v>
      </c>
      <c r="E503" s="10">
        <v>17.0</v>
      </c>
      <c r="F503" s="13"/>
      <c r="G503" s="14">
        <v>0.0</v>
      </c>
      <c r="H503" s="10" t="s">
        <v>579</v>
      </c>
      <c r="I503" s="13"/>
    </row>
    <row r="504" ht="52.5" customHeight="1">
      <c r="A504" s="6"/>
      <c r="B504" s="19" t="s">
        <v>45</v>
      </c>
      <c r="C504" s="20" t="s">
        <v>46</v>
      </c>
      <c r="D504" s="10">
        <v>1.0</v>
      </c>
      <c r="E504" s="10">
        <v>4.0</v>
      </c>
      <c r="F504" s="13"/>
      <c r="G504" s="14">
        <v>0.0</v>
      </c>
      <c r="H504" s="13"/>
      <c r="I504" s="13"/>
    </row>
    <row r="505" ht="52.5" customHeight="1">
      <c r="A505" s="6"/>
      <c r="B505" s="19" t="s">
        <v>49</v>
      </c>
      <c r="C505" s="20" t="s">
        <v>50</v>
      </c>
      <c r="D505" s="10">
        <v>1.0</v>
      </c>
      <c r="E505" s="10">
        <v>69.0</v>
      </c>
      <c r="F505" s="13"/>
      <c r="G505" s="14">
        <v>0.0</v>
      </c>
      <c r="H505" s="10" t="s">
        <v>579</v>
      </c>
      <c r="I505" s="13"/>
    </row>
    <row r="506" ht="52.5" customHeight="1">
      <c r="A506" s="6"/>
      <c r="B506" s="19" t="s">
        <v>54</v>
      </c>
      <c r="C506" s="20" t="s">
        <v>55</v>
      </c>
      <c r="D506" s="10">
        <v>1.0</v>
      </c>
      <c r="E506" s="10">
        <v>50.0</v>
      </c>
      <c r="F506" s="10"/>
      <c r="G506" s="14">
        <v>0.0</v>
      </c>
      <c r="H506" s="10" t="s">
        <v>579</v>
      </c>
      <c r="I506" s="13"/>
    </row>
    <row r="507" ht="52.5" customHeight="1">
      <c r="A507" s="6"/>
      <c r="B507" s="19" t="s">
        <v>1111</v>
      </c>
      <c r="C507" s="20" t="s">
        <v>1112</v>
      </c>
      <c r="D507" s="10">
        <v>1.0</v>
      </c>
      <c r="E507" s="10">
        <v>6.0</v>
      </c>
      <c r="F507" s="10"/>
      <c r="G507" s="14">
        <v>4.04</v>
      </c>
      <c r="H507" s="13"/>
      <c r="I507" s="13"/>
    </row>
    <row r="508" ht="52.5" customHeight="1">
      <c r="A508" s="6"/>
      <c r="B508" s="19" t="s">
        <v>1113</v>
      </c>
      <c r="C508" s="20" t="s">
        <v>1114</v>
      </c>
      <c r="D508" s="10">
        <v>1.0</v>
      </c>
      <c r="E508" s="10">
        <v>220.0</v>
      </c>
      <c r="F508" s="10"/>
      <c r="G508" s="14">
        <v>0.43</v>
      </c>
      <c r="H508" s="13"/>
      <c r="I508" s="13"/>
    </row>
    <row r="509" ht="52.5" customHeight="1">
      <c r="A509" s="6"/>
      <c r="B509" s="8"/>
      <c r="C509" s="10"/>
      <c r="D509" s="10"/>
      <c r="E509" s="10"/>
      <c r="F509" s="13"/>
      <c r="G509" s="15"/>
      <c r="H509" s="13"/>
      <c r="I509" s="13"/>
    </row>
    <row r="510" ht="52.5" customHeight="1">
      <c r="A510" s="6"/>
      <c r="B510" s="6"/>
      <c r="C510" s="10"/>
      <c r="D510" s="10"/>
      <c r="E510" s="10"/>
      <c r="F510" s="13"/>
      <c r="G510" s="15"/>
      <c r="H510" s="13"/>
      <c r="I510" s="13"/>
    </row>
    <row r="511" ht="52.5" customHeight="1">
      <c r="A511" s="6"/>
      <c r="B511" s="6"/>
      <c r="C511" s="10"/>
      <c r="D511" s="10"/>
      <c r="E511" s="10"/>
      <c r="F511" s="13"/>
      <c r="G511" s="15"/>
      <c r="H511" s="13"/>
      <c r="I511" s="13"/>
    </row>
    <row r="512" ht="52.5" customHeight="1">
      <c r="A512" s="6"/>
      <c r="B512" s="6"/>
      <c r="C512" s="10"/>
      <c r="D512" s="10"/>
      <c r="E512" s="10"/>
      <c r="F512" s="13"/>
      <c r="G512" s="15"/>
      <c r="H512" s="13"/>
      <c r="I512" s="13"/>
    </row>
    <row r="513" ht="52.5" customHeight="1">
      <c r="A513" s="6"/>
      <c r="B513" s="6"/>
      <c r="C513" s="10"/>
      <c r="D513" s="10"/>
      <c r="E513" s="10"/>
      <c r="F513" s="13"/>
      <c r="G513" s="15"/>
      <c r="H513" s="13"/>
      <c r="I513" s="13"/>
    </row>
    <row r="514" ht="52.5" customHeight="1">
      <c r="A514" s="6"/>
      <c r="B514" s="6"/>
      <c r="C514" s="10"/>
      <c r="D514" s="10"/>
      <c r="E514" s="10"/>
      <c r="F514" s="13"/>
      <c r="G514" s="15"/>
      <c r="H514" s="13"/>
      <c r="I514" s="13"/>
    </row>
    <row r="515" ht="52.5" customHeight="1">
      <c r="A515" s="6"/>
      <c r="B515" s="6"/>
      <c r="C515" s="10"/>
      <c r="D515" s="10"/>
      <c r="E515" s="10"/>
      <c r="F515" s="13"/>
      <c r="G515" s="15"/>
      <c r="H515" s="13"/>
      <c r="I515" s="13"/>
    </row>
    <row r="516" ht="52.5" customHeight="1">
      <c r="A516" s="6"/>
      <c r="B516" s="6"/>
      <c r="C516" s="10"/>
      <c r="D516" s="10"/>
      <c r="E516" s="10"/>
      <c r="F516" s="13"/>
      <c r="G516" s="15"/>
      <c r="H516" s="13"/>
      <c r="I516" s="13"/>
    </row>
    <row r="517" ht="52.5" customHeight="1">
      <c r="A517" s="6"/>
      <c r="B517" s="6"/>
      <c r="C517" s="10"/>
      <c r="D517" s="10"/>
      <c r="E517" s="10"/>
      <c r="F517" s="13"/>
      <c r="G517" s="15"/>
      <c r="H517" s="13"/>
      <c r="I517" s="13"/>
    </row>
  </sheetData>
  <conditionalFormatting sqref="A1:I517">
    <cfRule type="cellIs" dxfId="0" priority="1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22.75"/>
  </cols>
  <sheetData>
    <row r="1" ht="52.5" customHeight="1">
      <c r="A1" s="6"/>
      <c r="B1" s="8" t="s">
        <v>9</v>
      </c>
      <c r="C1" s="10" t="s">
        <v>10</v>
      </c>
      <c r="D1" s="10">
        <v>1.0</v>
      </c>
      <c r="E1" s="10">
        <v>9.0</v>
      </c>
      <c r="F1" s="13"/>
      <c r="G1" s="14"/>
      <c r="H1" s="10"/>
      <c r="I1" s="15">
        <f t="shared" ref="I1:I35" si="1">G1*E1</f>
        <v>0</v>
      </c>
    </row>
    <row r="2" ht="52.5" customHeight="1">
      <c r="A2" s="6"/>
      <c r="B2" s="8" t="s">
        <v>17</v>
      </c>
      <c r="C2" s="10" t="s">
        <v>18</v>
      </c>
      <c r="D2" s="10">
        <v>1.0</v>
      </c>
      <c r="E2" s="10">
        <v>2.0</v>
      </c>
      <c r="F2" s="13"/>
      <c r="G2" s="14"/>
      <c r="H2" s="13"/>
      <c r="I2" s="15">
        <f t="shared" si="1"/>
        <v>0</v>
      </c>
    </row>
    <row r="3" ht="52.5" customHeight="1">
      <c r="A3" s="6"/>
      <c r="B3" s="8" t="s">
        <v>19</v>
      </c>
      <c r="C3" s="10" t="s">
        <v>21</v>
      </c>
      <c r="D3" s="10">
        <v>1.0</v>
      </c>
      <c r="E3" s="10">
        <v>1.0</v>
      </c>
      <c r="F3" s="13"/>
      <c r="G3" s="14"/>
      <c r="H3" s="10"/>
      <c r="I3" s="15">
        <f t="shared" si="1"/>
        <v>0</v>
      </c>
    </row>
    <row r="4" ht="52.5" customHeight="1">
      <c r="A4" s="6"/>
      <c r="B4" s="8" t="s">
        <v>24</v>
      </c>
      <c r="C4" s="10" t="s">
        <v>26</v>
      </c>
      <c r="D4" s="10">
        <v>1.0</v>
      </c>
      <c r="E4" s="10">
        <v>4.0</v>
      </c>
      <c r="F4" s="13"/>
      <c r="G4" s="14"/>
      <c r="H4" s="10"/>
      <c r="I4" s="15">
        <f t="shared" si="1"/>
        <v>0</v>
      </c>
    </row>
    <row r="5" ht="52.5" customHeight="1">
      <c r="A5" s="6"/>
      <c r="B5" s="8" t="s">
        <v>28</v>
      </c>
      <c r="C5" s="10" t="s">
        <v>29</v>
      </c>
      <c r="D5" s="10">
        <v>1.0</v>
      </c>
      <c r="E5" s="10">
        <v>6.0</v>
      </c>
      <c r="F5" s="13"/>
      <c r="G5" s="14"/>
      <c r="H5" s="10"/>
      <c r="I5" s="15">
        <f t="shared" si="1"/>
        <v>0</v>
      </c>
    </row>
    <row r="6" ht="52.5" customHeight="1">
      <c r="A6" s="6"/>
      <c r="B6" s="8"/>
      <c r="C6" s="10" t="s">
        <v>31</v>
      </c>
      <c r="D6" s="10">
        <v>1.0</v>
      </c>
      <c r="E6" s="10">
        <v>10.0</v>
      </c>
      <c r="F6" s="13"/>
      <c r="G6" s="14"/>
      <c r="H6" s="10"/>
      <c r="I6" s="15">
        <f t="shared" si="1"/>
        <v>0</v>
      </c>
    </row>
    <row r="7" ht="52.5" customHeight="1">
      <c r="A7" s="6"/>
      <c r="B7" s="8" t="s">
        <v>33</v>
      </c>
      <c r="C7" s="10" t="s">
        <v>34</v>
      </c>
      <c r="D7" s="10">
        <v>1.0</v>
      </c>
      <c r="E7" s="10">
        <v>1.0</v>
      </c>
      <c r="F7" s="13"/>
      <c r="G7" s="14"/>
      <c r="H7" s="10"/>
      <c r="I7" s="15">
        <f t="shared" si="1"/>
        <v>0</v>
      </c>
    </row>
    <row r="8" ht="52.5" customHeight="1">
      <c r="A8" s="6"/>
      <c r="B8" s="8" t="s">
        <v>37</v>
      </c>
      <c r="C8" s="10" t="s">
        <v>38</v>
      </c>
      <c r="D8" s="10">
        <v>1.0</v>
      </c>
      <c r="E8" s="10">
        <v>1.0</v>
      </c>
      <c r="F8" s="13"/>
      <c r="G8" s="14"/>
      <c r="H8" s="10"/>
      <c r="I8" s="15">
        <f t="shared" si="1"/>
        <v>0</v>
      </c>
    </row>
    <row r="9" ht="52.5" customHeight="1">
      <c r="A9" s="6"/>
      <c r="B9" s="8" t="s">
        <v>41</v>
      </c>
      <c r="C9" s="10" t="s">
        <v>42</v>
      </c>
      <c r="D9" s="10">
        <v>1.0</v>
      </c>
      <c r="E9" s="10">
        <v>17.0</v>
      </c>
      <c r="F9" s="13"/>
      <c r="G9" s="14"/>
      <c r="H9" s="10"/>
      <c r="I9" s="15">
        <f t="shared" si="1"/>
        <v>0</v>
      </c>
    </row>
    <row r="10" ht="52.5" customHeight="1">
      <c r="A10" s="6"/>
      <c r="B10" s="8" t="s">
        <v>45</v>
      </c>
      <c r="C10" s="10" t="s">
        <v>46</v>
      </c>
      <c r="D10" s="10">
        <v>1.0</v>
      </c>
      <c r="E10" s="10">
        <v>4.0</v>
      </c>
      <c r="F10" s="13"/>
      <c r="G10" s="14"/>
      <c r="H10" s="13"/>
      <c r="I10" s="15">
        <f t="shared" si="1"/>
        <v>0</v>
      </c>
    </row>
    <row r="11" ht="52.5" customHeight="1">
      <c r="A11" s="6"/>
      <c r="B11" s="8" t="s">
        <v>49</v>
      </c>
      <c r="C11" s="10" t="s">
        <v>50</v>
      </c>
      <c r="D11" s="10">
        <v>1.0</v>
      </c>
      <c r="E11" s="10">
        <v>69.0</v>
      </c>
      <c r="F11" s="13"/>
      <c r="G11" s="14"/>
      <c r="H11" s="10"/>
      <c r="I11" s="15">
        <f t="shared" si="1"/>
        <v>0</v>
      </c>
    </row>
    <row r="12" ht="52.5" customHeight="1">
      <c r="A12" s="6"/>
      <c r="B12" s="8" t="s">
        <v>54</v>
      </c>
      <c r="C12" s="10" t="s">
        <v>55</v>
      </c>
      <c r="D12" s="10">
        <v>1.0</v>
      </c>
      <c r="E12" s="10">
        <v>50.0</v>
      </c>
      <c r="F12" s="10"/>
      <c r="G12" s="14"/>
      <c r="H12" s="10"/>
      <c r="I12" s="15">
        <f t="shared" si="1"/>
        <v>0</v>
      </c>
    </row>
    <row r="13" ht="52.5" customHeight="1">
      <c r="A13" s="18"/>
      <c r="B13" s="18"/>
      <c r="C13" s="10" t="s">
        <v>60</v>
      </c>
      <c r="D13" s="10">
        <v>1.0</v>
      </c>
      <c r="E13" s="10">
        <v>1.0</v>
      </c>
      <c r="F13" s="13"/>
      <c r="G13" s="14"/>
      <c r="H13" s="10"/>
      <c r="I13" s="15">
        <f t="shared" si="1"/>
        <v>0</v>
      </c>
    </row>
    <row r="14" ht="52.5" customHeight="1">
      <c r="A14" s="18"/>
      <c r="B14" s="18"/>
      <c r="C14" s="10" t="s">
        <v>63</v>
      </c>
      <c r="D14" s="10">
        <v>1.0</v>
      </c>
      <c r="E14" s="10">
        <v>10.0</v>
      </c>
      <c r="F14" s="13"/>
      <c r="G14" s="14"/>
      <c r="H14" s="10"/>
      <c r="I14" s="15">
        <f t="shared" si="1"/>
        <v>0</v>
      </c>
    </row>
    <row r="15" ht="52.5" customHeight="1">
      <c r="A15" s="18"/>
      <c r="B15" s="18"/>
      <c r="C15" s="10" t="s">
        <v>67</v>
      </c>
      <c r="D15" s="10">
        <v>1.0</v>
      </c>
      <c r="E15" s="10">
        <v>20.0</v>
      </c>
      <c r="F15" s="13"/>
      <c r="G15" s="14"/>
      <c r="H15" s="10"/>
      <c r="I15" s="15">
        <f t="shared" si="1"/>
        <v>0</v>
      </c>
      <c r="J15" s="18"/>
      <c r="K15" s="18"/>
      <c r="L15" s="10"/>
      <c r="M15" s="10"/>
      <c r="N15" s="10"/>
      <c r="O15" s="13"/>
      <c r="P15" s="14"/>
      <c r="Q15" s="10"/>
      <c r="R15" s="13"/>
    </row>
    <row r="16" ht="52.5" customHeight="1">
      <c r="A16" s="18"/>
      <c r="B16" s="9"/>
      <c r="C16" s="10" t="s">
        <v>73</v>
      </c>
      <c r="D16" s="10">
        <v>1.0</v>
      </c>
      <c r="E16" s="10">
        <v>25.0</v>
      </c>
      <c r="F16" s="13"/>
      <c r="G16" s="14"/>
      <c r="H16" s="10"/>
      <c r="I16" s="15">
        <f t="shared" si="1"/>
        <v>0</v>
      </c>
    </row>
    <row r="17" ht="52.5" customHeight="1">
      <c r="A17" s="18"/>
      <c r="B17" s="9"/>
      <c r="C17" s="10" t="s">
        <v>75</v>
      </c>
      <c r="D17" s="10">
        <v>1.0</v>
      </c>
      <c r="E17" s="10">
        <v>20.0</v>
      </c>
      <c r="F17" s="13"/>
      <c r="G17" s="14"/>
      <c r="H17" s="10"/>
      <c r="I17" s="15">
        <f t="shared" si="1"/>
        <v>0</v>
      </c>
    </row>
    <row r="18" ht="52.5" customHeight="1">
      <c r="A18" s="18"/>
      <c r="B18" s="9" t="s">
        <v>78</v>
      </c>
      <c r="C18" s="10" t="s">
        <v>79</v>
      </c>
      <c r="D18" s="10">
        <v>1.0</v>
      </c>
      <c r="E18" s="10">
        <v>10.0</v>
      </c>
      <c r="F18" s="13"/>
      <c r="G18" s="14"/>
      <c r="H18" s="10"/>
      <c r="I18" s="15">
        <f t="shared" si="1"/>
        <v>0</v>
      </c>
    </row>
    <row r="19" ht="52.5" customHeight="1">
      <c r="A19" s="18"/>
      <c r="B19" s="18"/>
      <c r="C19" s="10" t="s">
        <v>83</v>
      </c>
      <c r="D19" s="10">
        <v>1.0</v>
      </c>
      <c r="E19" s="10">
        <v>17.0</v>
      </c>
      <c r="F19" s="13"/>
      <c r="G19" s="14"/>
      <c r="H19" s="13"/>
      <c r="I19" s="15">
        <f t="shared" si="1"/>
        <v>0</v>
      </c>
    </row>
    <row r="20" ht="52.5" customHeight="1">
      <c r="A20" s="18"/>
      <c r="B20" s="18"/>
      <c r="C20" s="10" t="s">
        <v>86</v>
      </c>
      <c r="D20" s="10">
        <v>1.0</v>
      </c>
      <c r="E20" s="10">
        <v>78.0</v>
      </c>
      <c r="F20" s="13"/>
      <c r="G20" s="14"/>
      <c r="H20" s="13"/>
      <c r="I20" s="15">
        <f t="shared" si="1"/>
        <v>0</v>
      </c>
    </row>
    <row r="21" ht="52.5" customHeight="1">
      <c r="A21" s="18"/>
      <c r="B21" s="18"/>
      <c r="C21" s="10" t="s">
        <v>89</v>
      </c>
      <c r="D21" s="10">
        <v>1.0</v>
      </c>
      <c r="E21" s="10">
        <v>2.0</v>
      </c>
      <c r="F21" s="13"/>
      <c r="G21" s="14"/>
      <c r="H21" s="10"/>
      <c r="I21" s="15">
        <f t="shared" si="1"/>
        <v>0</v>
      </c>
    </row>
    <row r="22" ht="52.5" customHeight="1">
      <c r="A22" s="18"/>
      <c r="B22" s="18"/>
      <c r="C22" s="10" t="s">
        <v>92</v>
      </c>
      <c r="D22" s="10">
        <v>1.0</v>
      </c>
      <c r="E22" s="10">
        <v>43.0</v>
      </c>
      <c r="F22" s="13"/>
      <c r="G22" s="14"/>
      <c r="H22" s="10"/>
      <c r="I22" s="15">
        <f t="shared" si="1"/>
        <v>0</v>
      </c>
    </row>
    <row r="23" ht="52.5" customHeight="1">
      <c r="A23" s="18"/>
      <c r="B23" s="9"/>
      <c r="C23" s="10" t="s">
        <v>95</v>
      </c>
      <c r="D23" s="10">
        <v>1.0</v>
      </c>
      <c r="E23" s="10">
        <v>2.0</v>
      </c>
      <c r="F23" s="13"/>
      <c r="G23" s="14"/>
      <c r="H23" s="10"/>
      <c r="I23" s="15">
        <f t="shared" si="1"/>
        <v>0</v>
      </c>
    </row>
    <row r="24" ht="52.5" customHeight="1">
      <c r="A24" s="18"/>
      <c r="B24" s="9"/>
      <c r="C24" s="10" t="s">
        <v>98</v>
      </c>
      <c r="D24" s="10">
        <v>1.0</v>
      </c>
      <c r="E24" s="10">
        <v>6.0</v>
      </c>
      <c r="F24" s="13"/>
      <c r="G24" s="14"/>
      <c r="H24" s="10"/>
      <c r="I24" s="15">
        <f t="shared" si="1"/>
        <v>0</v>
      </c>
    </row>
    <row r="25" ht="52.5" customHeight="1">
      <c r="A25" s="18"/>
      <c r="B25" s="9" t="s">
        <v>101</v>
      </c>
      <c r="C25" s="10" t="s">
        <v>102</v>
      </c>
      <c r="D25" s="10">
        <v>1.0</v>
      </c>
      <c r="E25" s="10">
        <v>100.0</v>
      </c>
      <c r="F25" s="13"/>
      <c r="G25" s="14"/>
      <c r="H25" s="10"/>
      <c r="I25" s="15">
        <f t="shared" si="1"/>
        <v>0</v>
      </c>
    </row>
    <row r="26" ht="52.5" customHeight="1">
      <c r="A26" s="18"/>
      <c r="B26" s="18"/>
      <c r="C26" s="10" t="s">
        <v>105</v>
      </c>
      <c r="D26" s="10">
        <v>1.0</v>
      </c>
      <c r="E26" s="10">
        <v>2.0</v>
      </c>
      <c r="F26" s="13"/>
      <c r="G26" s="14"/>
      <c r="H26" s="10"/>
      <c r="I26" s="15">
        <f t="shared" si="1"/>
        <v>0</v>
      </c>
    </row>
    <row r="27" ht="52.5" customHeight="1">
      <c r="A27" s="18"/>
      <c r="B27" s="18"/>
      <c r="C27" s="10" t="s">
        <v>108</v>
      </c>
      <c r="D27" s="10">
        <v>1.0</v>
      </c>
      <c r="E27" s="10">
        <v>2.0</v>
      </c>
      <c r="F27" s="13"/>
      <c r="G27" s="14"/>
      <c r="H27" s="10"/>
      <c r="I27" s="15">
        <f t="shared" si="1"/>
        <v>0</v>
      </c>
    </row>
    <row r="28" ht="52.5" customHeight="1">
      <c r="A28" s="18"/>
      <c r="B28" s="18"/>
      <c r="C28" s="10" t="s">
        <v>111</v>
      </c>
      <c r="D28" s="10">
        <v>1.0</v>
      </c>
      <c r="E28" s="10">
        <v>1.0</v>
      </c>
      <c r="F28" s="13"/>
      <c r="G28" s="14"/>
      <c r="H28" s="10"/>
      <c r="I28" s="15">
        <f t="shared" si="1"/>
        <v>0</v>
      </c>
    </row>
    <row r="29" ht="52.5" customHeight="1">
      <c r="A29" s="18"/>
      <c r="B29" s="18"/>
      <c r="C29" s="10" t="s">
        <v>114</v>
      </c>
      <c r="D29" s="10">
        <v>1.0</v>
      </c>
      <c r="E29" s="10">
        <v>5.0</v>
      </c>
      <c r="F29" s="13"/>
      <c r="G29" s="14"/>
      <c r="H29" s="10"/>
      <c r="I29" s="15">
        <f t="shared" si="1"/>
        <v>0</v>
      </c>
    </row>
    <row r="30" ht="52.5" customHeight="1">
      <c r="A30" s="18"/>
      <c r="B30" s="18"/>
      <c r="C30" s="10" t="s">
        <v>117</v>
      </c>
      <c r="D30" s="10">
        <v>1.0</v>
      </c>
      <c r="E30" s="10">
        <v>7.0</v>
      </c>
      <c r="F30" s="13"/>
      <c r="G30" s="14"/>
      <c r="H30" s="10"/>
      <c r="I30" s="15">
        <f t="shared" si="1"/>
        <v>0</v>
      </c>
    </row>
    <row r="31" ht="52.5" customHeight="1">
      <c r="A31" s="18"/>
      <c r="B31" s="9"/>
      <c r="C31" s="10" t="s">
        <v>120</v>
      </c>
      <c r="D31" s="10">
        <v>1.0</v>
      </c>
      <c r="E31" s="10">
        <v>1.0</v>
      </c>
      <c r="F31" s="13"/>
      <c r="G31" s="14"/>
      <c r="H31" s="10"/>
      <c r="I31" s="15">
        <f t="shared" si="1"/>
        <v>0</v>
      </c>
    </row>
    <row r="32" ht="52.5" customHeight="1">
      <c r="A32" s="9"/>
      <c r="B32" s="9"/>
      <c r="C32" s="10" t="s">
        <v>126</v>
      </c>
      <c r="D32" s="10">
        <v>1.0</v>
      </c>
      <c r="E32" s="10">
        <v>5.0</v>
      </c>
      <c r="F32" s="13"/>
      <c r="G32" s="14"/>
      <c r="H32" s="10"/>
      <c r="I32" s="15">
        <f t="shared" si="1"/>
        <v>0</v>
      </c>
    </row>
    <row r="33" ht="52.5" customHeight="1">
      <c r="A33" s="9"/>
      <c r="B33" s="9"/>
      <c r="C33" s="10" t="s">
        <v>131</v>
      </c>
      <c r="D33" s="10">
        <v>1.0</v>
      </c>
      <c r="E33" s="10">
        <v>6.0</v>
      </c>
      <c r="F33" s="13"/>
      <c r="G33" s="14"/>
      <c r="H33" s="10"/>
      <c r="I33" s="15">
        <f t="shared" si="1"/>
        <v>0</v>
      </c>
    </row>
    <row r="34" ht="52.5" customHeight="1">
      <c r="A34" s="18"/>
      <c r="B34" s="9" t="s">
        <v>134</v>
      </c>
      <c r="C34" s="10" t="s">
        <v>135</v>
      </c>
      <c r="D34" s="10">
        <v>1.0</v>
      </c>
      <c r="E34" s="10">
        <v>32.0</v>
      </c>
      <c r="F34" s="13"/>
      <c r="G34" s="14"/>
      <c r="H34" s="10"/>
      <c r="I34" s="15">
        <f t="shared" si="1"/>
        <v>0</v>
      </c>
    </row>
    <row r="35" ht="52.5" customHeight="1">
      <c r="A35" s="18"/>
      <c r="B35" s="18"/>
      <c r="C35" s="10" t="s">
        <v>140</v>
      </c>
      <c r="D35" s="10">
        <v>1.0</v>
      </c>
      <c r="E35" s="26">
        <v>26.0</v>
      </c>
      <c r="F35" s="13"/>
      <c r="G35" s="14"/>
      <c r="H35" s="13"/>
      <c r="I35" s="15">
        <f t="shared" si="1"/>
        <v>0</v>
      </c>
    </row>
  </sheetData>
  <conditionalFormatting sqref="A1:I35 J15:R15">
    <cfRule type="cellIs" dxfId="0" priority="1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/>
      <c r="B2" s="11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6"/>
      <c r="B3" s="1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/>
      <c r="B4" s="1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/>
      <c r="B5" s="1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/>
      <c r="B6" s="1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/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/>
      <c r="B8" s="1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/>
      <c r="B9" s="1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/>
      <c r="B10" s="11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/>
      <c r="B11" s="11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/>
      <c r="B12" s="11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/>
      <c r="B13" s="11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/>
      <c r="B14" s="1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"/>
      <c r="B15" s="1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/>
      <c r="B16" s="1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"/>
      <c r="B17" s="1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6"/>
      <c r="B18" s="1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6"/>
      <c r="B19" s="1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6"/>
      <c r="B20" s="1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"/>
      <c r="B21" s="1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6"/>
      <c r="B22" s="1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6"/>
      <c r="B23" s="1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1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1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1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/>
      <c r="B28" s="11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1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1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1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1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/>
      <c r="B33" s="1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/>
      <c r="B34" s="1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/>
      <c r="B35" s="1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/>
      <c r="B36" s="1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/>
      <c r="B37" s="11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/>
      <c r="B38" s="1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/>
      <c r="B39" s="1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/>
      <c r="B40" s="1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1"/>
      <c r="B41" s="1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/>
      <c r="B42" s="1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/>
      <c r="B43" s="1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/>
      <c r="B44" s="1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/>
      <c r="B45" s="1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/>
      <c r="B46" s="1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"/>
      <c r="B47" s="1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/>
      <c r="B48" s="1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/>
      <c r="B49" s="1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/>
      <c r="B50" s="1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"/>
      <c r="B51" s="1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/>
      <c r="B52" s="1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"/>
      <c r="B53" s="1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"/>
      <c r="B54" s="1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"/>
      <c r="B55" s="1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"/>
      <c r="B56" s="1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/>
      <c r="B57" s="1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/>
      <c r="B58" s="1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"/>
      <c r="B59" s="1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"/>
      <c r="B60" s="1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"/>
      <c r="B61" s="1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"/>
      <c r="B62" s="1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1"/>
      <c r="B63" s="1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"/>
      <c r="B64" s="1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"/>
      <c r="B65" s="1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1"/>
      <c r="B66" s="1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"/>
      <c r="B67" s="1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"/>
      <c r="B68" s="1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"/>
      <c r="B69" s="1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/>
      <c r="B70" s="1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"/>
      <c r="B71" s="1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/>
      <c r="B72" s="1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"/>
      <c r="B73" s="1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/>
      <c r="B74" s="1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/>
      <c r="B75" s="1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"/>
      <c r="B76" s="1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"/>
      <c r="B77" s="1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"/>
      <c r="B78" s="1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"/>
      <c r="B79" s="1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"/>
      <c r="B80" s="1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"/>
      <c r="B81" s="1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"/>
      <c r="B82" s="1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"/>
      <c r="B83" s="1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/>
      <c r="B84" s="1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"/>
      <c r="B85" s="1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"/>
      <c r="B86" s="1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"/>
      <c r="B87" s="1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"/>
      <c r="B88" s="1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"/>
      <c r="B89" s="1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"/>
      <c r="B90" s="1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"/>
      <c r="B91" s="1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"/>
      <c r="B92" s="1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"/>
      <c r="B93" s="1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"/>
      <c r="B94" s="1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"/>
      <c r="B95" s="1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"/>
      <c r="B96" s="1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"/>
      <c r="B97" s="1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"/>
      <c r="B98" s="1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"/>
      <c r="B99" s="1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"/>
      <c r="B100" s="1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"/>
      <c r="B101" s="1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"/>
      <c r="B102" s="1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"/>
      <c r="B103" s="1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"/>
      <c r="B104" s="1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"/>
      <c r="B105" s="1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"/>
      <c r="B106" s="1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"/>
      <c r="B107" s="1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"/>
      <c r="B108" s="1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"/>
      <c r="B109" s="1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"/>
      <c r="B110" s="1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"/>
      <c r="B111" s="1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"/>
      <c r="B112" s="1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"/>
      <c r="B113" s="1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"/>
      <c r="B114" s="1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"/>
      <c r="B115" s="1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"/>
      <c r="B116" s="1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"/>
      <c r="B117" s="1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"/>
      <c r="B118" s="1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"/>
      <c r="B119" s="1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1"/>
      <c r="B120" s="1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"/>
      <c r="B121" s="1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1"/>
      <c r="B122" s="1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1"/>
      <c r="B123" s="1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"/>
      <c r="B124" s="1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1"/>
      <c r="B125" s="1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"/>
      <c r="B126" s="1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1"/>
      <c r="B127" s="1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1"/>
      <c r="B128" s="1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1"/>
      <c r="B129" s="1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"/>
      <c r="B130" s="1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1"/>
      <c r="B131" s="1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1"/>
      <c r="B132" s="1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1"/>
      <c r="B133" s="1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1"/>
      <c r="B134" s="1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1"/>
      <c r="B135" s="1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1"/>
      <c r="B136" s="1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1"/>
      <c r="B137" s="1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1"/>
      <c r="B138" s="1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1"/>
      <c r="B139" s="1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1"/>
      <c r="B140" s="1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1"/>
      <c r="B141" s="1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1"/>
      <c r="B142" s="1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1"/>
      <c r="B143" s="1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1"/>
      <c r="B144" s="1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1"/>
      <c r="B145" s="1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1"/>
      <c r="B146" s="1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1"/>
      <c r="B147" s="1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1"/>
      <c r="B148" s="1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1"/>
      <c r="B149" s="1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1"/>
      <c r="B150" s="1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1"/>
      <c r="B151" s="1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1"/>
      <c r="B152" s="1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1"/>
      <c r="B153" s="1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1"/>
      <c r="B154" s="1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1"/>
      <c r="B155" s="1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1"/>
      <c r="B156" s="1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1"/>
      <c r="B157" s="1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1"/>
      <c r="B158" s="1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1"/>
      <c r="B159" s="1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1"/>
      <c r="B160" s="1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1"/>
      <c r="B161" s="1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1"/>
      <c r="B162" s="1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1"/>
      <c r="B163" s="1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1"/>
      <c r="B164" s="1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1"/>
      <c r="B165" s="1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1"/>
      <c r="B166" s="1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1"/>
      <c r="B167" s="1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1"/>
      <c r="B168" s="1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1"/>
      <c r="B169" s="1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1"/>
      <c r="B170" s="1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1"/>
      <c r="B171" s="1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1"/>
      <c r="B172" s="1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1"/>
      <c r="B173" s="1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1"/>
      <c r="B174" s="1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1"/>
      <c r="B175" s="1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1"/>
      <c r="B176" s="1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1"/>
      <c r="B177" s="1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1"/>
      <c r="B178" s="1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1"/>
      <c r="B179" s="1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1"/>
      <c r="B180" s="1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1"/>
      <c r="B181" s="1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1"/>
      <c r="B182" s="1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1"/>
      <c r="B183" s="1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1"/>
      <c r="B184" s="1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1"/>
      <c r="B185" s="1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1"/>
      <c r="B186" s="1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1"/>
      <c r="B187" s="1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1"/>
      <c r="B188" s="1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1"/>
      <c r="B189" s="1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1"/>
      <c r="B190" s="1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1"/>
      <c r="B191" s="1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1"/>
      <c r="B192" s="1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1"/>
      <c r="B193" s="1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1"/>
      <c r="B194" s="1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1"/>
      <c r="B195" s="1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1"/>
      <c r="B196" s="1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1"/>
      <c r="B197" s="1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1"/>
      <c r="B198" s="1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1"/>
      <c r="B199" s="1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1"/>
      <c r="B200" s="1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1"/>
      <c r="B201" s="1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1"/>
      <c r="B202" s="1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1"/>
      <c r="B203" s="1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1"/>
      <c r="B204" s="1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1"/>
      <c r="B205" s="1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1"/>
      <c r="B206" s="1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1"/>
      <c r="B207" s="1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1"/>
      <c r="B208" s="1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1"/>
      <c r="B209" s="1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1"/>
      <c r="B210" s="1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1"/>
      <c r="B211" s="1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1"/>
      <c r="B212" s="1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1"/>
      <c r="B213" s="1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1"/>
      <c r="B214" s="1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1"/>
      <c r="B215" s="1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1"/>
      <c r="B216" s="1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1"/>
      <c r="B217" s="1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1"/>
      <c r="B218" s="1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1"/>
      <c r="B219" s="1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1"/>
      <c r="B220" s="1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1"/>
      <c r="B221" s="1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1"/>
      <c r="B222" s="1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1"/>
      <c r="B223" s="1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1"/>
      <c r="B224" s="1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1"/>
      <c r="B225" s="1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1"/>
      <c r="B226" s="1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1"/>
      <c r="B227" s="1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1"/>
      <c r="B228" s="1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1"/>
      <c r="B229" s="1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1"/>
      <c r="B230" s="1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1"/>
      <c r="B231" s="1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1"/>
      <c r="B232" s="1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1"/>
      <c r="B233" s="1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1"/>
      <c r="B234" s="1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1"/>
      <c r="B235" s="1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1"/>
      <c r="B236" s="1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1"/>
      <c r="B237" s="1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1"/>
      <c r="B238" s="1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1"/>
      <c r="B239" s="1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1"/>
      <c r="B240" s="1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1"/>
      <c r="B241" s="1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1"/>
      <c r="B242" s="1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1"/>
      <c r="B243" s="1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1"/>
      <c r="B244" s="1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1"/>
      <c r="B245" s="1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1"/>
      <c r="B246" s="1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1"/>
      <c r="B247" s="1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1"/>
      <c r="B248" s="1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1"/>
      <c r="B249" s="1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1"/>
      <c r="B250" s="1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1"/>
      <c r="B251" s="1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1"/>
      <c r="B252" s="1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1"/>
      <c r="B253" s="1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1"/>
      <c r="B254" s="1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1"/>
      <c r="B255" s="1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1"/>
      <c r="B256" s="1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1"/>
      <c r="B257" s="1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1"/>
      <c r="B258" s="1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1"/>
      <c r="B259" s="1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1"/>
      <c r="B260" s="1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1"/>
      <c r="B261" s="1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1"/>
      <c r="B262" s="1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1"/>
      <c r="B263" s="1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1"/>
      <c r="B264" s="1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1"/>
      <c r="B265" s="1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1"/>
      <c r="B266" s="1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1"/>
      <c r="B267" s="1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1"/>
      <c r="B268" s="1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1"/>
      <c r="B269" s="1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1"/>
      <c r="B270" s="1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1"/>
      <c r="B271" s="1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1"/>
      <c r="B272" s="1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1"/>
      <c r="B273" s="1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1"/>
      <c r="B274" s="1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1"/>
      <c r="B275" s="1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1"/>
      <c r="B276" s="1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1"/>
      <c r="B277" s="1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1"/>
      <c r="B278" s="1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1"/>
      <c r="B279" s="1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1"/>
      <c r="B280" s="1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1"/>
      <c r="B281" s="1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1"/>
      <c r="B282" s="1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1"/>
      <c r="B283" s="1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1"/>
      <c r="B284" s="1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1"/>
      <c r="B285" s="1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1"/>
      <c r="B286" s="1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1"/>
      <c r="B287" s="1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1"/>
      <c r="B288" s="1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1"/>
      <c r="B289" s="1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1"/>
      <c r="B290" s="1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1"/>
      <c r="B291" s="1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1"/>
      <c r="B292" s="1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1"/>
      <c r="B293" s="1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1"/>
      <c r="B294" s="1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1"/>
      <c r="B295" s="1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1"/>
      <c r="B296" s="1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1"/>
      <c r="B297" s="1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1"/>
      <c r="B298" s="1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1"/>
      <c r="B299" s="1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1"/>
      <c r="B300" s="1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1"/>
      <c r="B301" s="1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1"/>
      <c r="B302" s="1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1"/>
      <c r="B303" s="1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1"/>
      <c r="B304" s="1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1"/>
      <c r="B305" s="1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1"/>
      <c r="B306" s="1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1"/>
      <c r="B307" s="1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1"/>
      <c r="B308" s="1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1"/>
      <c r="B309" s="1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1"/>
      <c r="B310" s="1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1"/>
      <c r="B311" s="1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1"/>
      <c r="B312" s="1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1"/>
      <c r="B313" s="1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1"/>
      <c r="B314" s="1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1"/>
      <c r="B315" s="1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1"/>
      <c r="B316" s="1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1"/>
      <c r="B317" s="1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1"/>
      <c r="B318" s="1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1"/>
      <c r="B319" s="1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1"/>
      <c r="B320" s="1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1"/>
      <c r="B321" s="1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1"/>
      <c r="B322" s="1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1"/>
      <c r="B323" s="1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1"/>
      <c r="B324" s="1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1"/>
      <c r="B325" s="1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1"/>
      <c r="B326" s="1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1"/>
      <c r="B327" s="1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1"/>
      <c r="B328" s="1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1"/>
      <c r="B329" s="1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1"/>
      <c r="B330" s="1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1"/>
      <c r="B331" s="1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1"/>
      <c r="B332" s="1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1"/>
      <c r="B333" s="1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1"/>
      <c r="B334" s="1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1"/>
      <c r="B335" s="1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1"/>
      <c r="B336" s="1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1"/>
      <c r="B337" s="1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1"/>
      <c r="B338" s="1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1"/>
      <c r="B339" s="1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1"/>
      <c r="B340" s="1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1"/>
      <c r="B341" s="1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1"/>
      <c r="B342" s="1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1"/>
      <c r="B343" s="1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1"/>
      <c r="B344" s="1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1"/>
      <c r="B345" s="1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1"/>
      <c r="B346" s="1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1"/>
      <c r="B347" s="1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1"/>
      <c r="B348" s="1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1"/>
      <c r="B349" s="1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1"/>
      <c r="B350" s="1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1"/>
      <c r="B351" s="1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1"/>
      <c r="B352" s="1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1"/>
      <c r="B353" s="1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1"/>
      <c r="B354" s="1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1"/>
      <c r="B355" s="1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1"/>
      <c r="B356" s="1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1"/>
      <c r="B357" s="1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1"/>
      <c r="B358" s="1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1"/>
      <c r="B359" s="1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1"/>
      <c r="B360" s="1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1"/>
      <c r="B361" s="1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1"/>
      <c r="B362" s="1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1"/>
      <c r="B363" s="1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1"/>
      <c r="B364" s="1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1"/>
      <c r="B365" s="1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1"/>
      <c r="B366" s="1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1"/>
      <c r="B367" s="1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1"/>
      <c r="B368" s="1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1"/>
      <c r="B369" s="1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1"/>
      <c r="B370" s="1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1"/>
      <c r="B371" s="1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1"/>
      <c r="B372" s="1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1"/>
      <c r="B373" s="1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1"/>
      <c r="B374" s="1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1"/>
      <c r="B375" s="1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1"/>
      <c r="B376" s="1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1"/>
      <c r="B377" s="1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1"/>
      <c r="B378" s="1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1"/>
      <c r="B379" s="1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1"/>
      <c r="B380" s="1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1"/>
      <c r="B381" s="1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1"/>
      <c r="B382" s="1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1"/>
      <c r="B383" s="1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1"/>
      <c r="B384" s="1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1"/>
      <c r="B385" s="1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1"/>
      <c r="B386" s="1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1"/>
      <c r="B387" s="1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1"/>
      <c r="B388" s="1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1"/>
      <c r="B389" s="1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1"/>
      <c r="B390" s="1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1"/>
      <c r="B391" s="1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1"/>
      <c r="B392" s="1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1"/>
      <c r="B393" s="1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1"/>
      <c r="B394" s="1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1"/>
      <c r="B395" s="1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1"/>
      <c r="B396" s="1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1"/>
      <c r="B397" s="1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1"/>
      <c r="B398" s="1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1"/>
      <c r="B399" s="1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1"/>
      <c r="B400" s="1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1"/>
      <c r="B401" s="1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1"/>
      <c r="B402" s="1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1"/>
      <c r="B403" s="1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1"/>
      <c r="B404" s="1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1"/>
      <c r="B405" s="1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1"/>
      <c r="B406" s="1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1"/>
      <c r="B407" s="1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1"/>
      <c r="B408" s="1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1"/>
      <c r="B409" s="1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1"/>
      <c r="B410" s="1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1"/>
      <c r="B411" s="1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1"/>
      <c r="B412" s="1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1"/>
      <c r="B413" s="11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1"/>
      <c r="B414" s="1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1"/>
      <c r="B415" s="1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1"/>
      <c r="B416" s="1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1"/>
      <c r="B417" s="11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1"/>
      <c r="B418" s="11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1"/>
      <c r="B419" s="11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1"/>
      <c r="B420" s="11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1"/>
      <c r="B421" s="11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1"/>
      <c r="B422" s="11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1"/>
      <c r="B423" s="11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1"/>
      <c r="B424" s="11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1"/>
      <c r="B425" s="11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1"/>
      <c r="B426" s="11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1"/>
      <c r="B427" s="11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1"/>
      <c r="B428" s="11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1"/>
      <c r="B429" s="11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1"/>
      <c r="B430" s="11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1"/>
      <c r="B431" s="11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1"/>
      <c r="B432" s="11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1"/>
      <c r="B433" s="11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1"/>
      <c r="B434" s="11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1"/>
      <c r="B435" s="11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1"/>
      <c r="B436" s="11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1"/>
      <c r="B437" s="11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1"/>
      <c r="B438" s="11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1"/>
      <c r="B439" s="11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1"/>
      <c r="B440" s="11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1"/>
      <c r="B441" s="11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1"/>
      <c r="B442" s="11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1"/>
      <c r="B443" s="11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1"/>
      <c r="B444" s="11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1"/>
      <c r="B445" s="11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1"/>
      <c r="B446" s="11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1"/>
      <c r="B447" s="11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1"/>
      <c r="B448" s="11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1"/>
      <c r="B449" s="11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1"/>
      <c r="B450" s="11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1"/>
      <c r="B451" s="11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1"/>
      <c r="B452" s="11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1"/>
      <c r="B453" s="11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1"/>
      <c r="B454" s="11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1"/>
      <c r="B455" s="11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1"/>
      <c r="B456" s="11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1"/>
      <c r="B457" s="11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1"/>
      <c r="B458" s="11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1"/>
      <c r="B459" s="11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1"/>
      <c r="B460" s="11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1"/>
      <c r="B461" s="11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1"/>
      <c r="B462" s="11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1"/>
      <c r="B463" s="11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1"/>
      <c r="B464" s="11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1"/>
      <c r="B465" s="11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1"/>
      <c r="B466" s="11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1"/>
      <c r="B467" s="11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1"/>
      <c r="B468" s="11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1"/>
      <c r="B469" s="11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1"/>
      <c r="B470" s="11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1"/>
      <c r="B471" s="11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1"/>
      <c r="B472" s="11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1"/>
      <c r="B473" s="11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1"/>
      <c r="B474" s="11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1"/>
      <c r="B475" s="11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1"/>
      <c r="B476" s="11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1"/>
      <c r="B477" s="11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1"/>
      <c r="B478" s="11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1"/>
      <c r="B479" s="11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1"/>
      <c r="B480" s="11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1"/>
      <c r="B481" s="11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1"/>
      <c r="B482" s="11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1"/>
      <c r="B483" s="11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1"/>
      <c r="B484" s="11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1"/>
      <c r="B485" s="11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1"/>
      <c r="B486" s="11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1"/>
      <c r="B487" s="11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1"/>
      <c r="B488" s="11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1"/>
      <c r="B489" s="11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1"/>
      <c r="B490" s="11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1"/>
      <c r="B491" s="11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1"/>
      <c r="B492" s="11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1"/>
      <c r="B493" s="11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1"/>
      <c r="B494" s="11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1"/>
      <c r="B495" s="11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1"/>
      <c r="B496" s="11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1"/>
      <c r="B497" s="11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1"/>
      <c r="B498" s="11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1"/>
      <c r="B499" s="11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1"/>
      <c r="B500" s="11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1"/>
      <c r="B501" s="11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1"/>
      <c r="B502" s="11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1"/>
      <c r="B503" s="11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1"/>
      <c r="B504" s="11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1"/>
      <c r="B505" s="11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1"/>
      <c r="B506" s="11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1"/>
      <c r="B507" s="11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1"/>
      <c r="B508" s="11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1"/>
      <c r="B509" s="11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1"/>
      <c r="B510" s="11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1"/>
      <c r="B511" s="11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1"/>
      <c r="B512" s="11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1"/>
      <c r="B513" s="11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1"/>
      <c r="B514" s="11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1"/>
      <c r="B515" s="11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1"/>
      <c r="B516" s="11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1"/>
      <c r="B517" s="11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1"/>
      <c r="B518" s="11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1"/>
      <c r="B519" s="11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1"/>
      <c r="B520" s="11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1"/>
      <c r="B521" s="11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1"/>
      <c r="B522" s="11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1"/>
      <c r="B523" s="11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1"/>
      <c r="B524" s="11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1"/>
      <c r="B525" s="11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1"/>
      <c r="B526" s="11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1"/>
      <c r="B527" s="11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1"/>
      <c r="B528" s="11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1"/>
      <c r="B529" s="11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1"/>
      <c r="B530" s="11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1"/>
      <c r="B531" s="11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1"/>
      <c r="B532" s="11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1"/>
      <c r="B533" s="11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1"/>
      <c r="B534" s="11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1"/>
      <c r="B535" s="11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1"/>
      <c r="B536" s="11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1"/>
      <c r="B537" s="11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1"/>
      <c r="B538" s="11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1"/>
      <c r="B539" s="11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1"/>
      <c r="B540" s="11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1"/>
      <c r="B541" s="11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1"/>
      <c r="B542" s="11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1"/>
      <c r="B543" s="11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1"/>
      <c r="B544" s="11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1"/>
      <c r="B545" s="11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1"/>
      <c r="B546" s="11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1"/>
      <c r="B547" s="11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1"/>
      <c r="B548" s="11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1"/>
      <c r="B549" s="11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1"/>
      <c r="B550" s="11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1"/>
      <c r="B551" s="11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1"/>
      <c r="B552" s="11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1"/>
      <c r="B553" s="11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1"/>
      <c r="B554" s="11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1"/>
      <c r="B555" s="11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1"/>
      <c r="B556" s="11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1"/>
      <c r="B557" s="11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1"/>
      <c r="B558" s="11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1"/>
      <c r="B559" s="11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1"/>
      <c r="B560" s="11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1"/>
      <c r="B561" s="11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1"/>
      <c r="B562" s="11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1"/>
      <c r="B563" s="11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1"/>
      <c r="B564" s="11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1"/>
      <c r="B565" s="11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1"/>
      <c r="B566" s="11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1"/>
      <c r="B567" s="11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1"/>
      <c r="B568" s="11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1"/>
      <c r="B569" s="11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1"/>
      <c r="B570" s="11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1"/>
      <c r="B571" s="11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1"/>
      <c r="B572" s="11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1"/>
      <c r="B573" s="11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1"/>
      <c r="B574" s="11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1"/>
      <c r="B575" s="11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1"/>
      <c r="B576" s="11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1"/>
      <c r="B577" s="11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1"/>
      <c r="B578" s="11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1"/>
      <c r="B579" s="11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1"/>
      <c r="B580" s="11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1"/>
      <c r="B581" s="11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1"/>
      <c r="B582" s="11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1"/>
      <c r="B583" s="11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1"/>
      <c r="B584" s="11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1"/>
      <c r="B585" s="11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1"/>
      <c r="B586" s="11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1"/>
      <c r="B587" s="11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1"/>
      <c r="B588" s="11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1"/>
      <c r="B589" s="11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1"/>
      <c r="B590" s="11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1"/>
      <c r="B591" s="11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1"/>
      <c r="B592" s="11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1"/>
      <c r="B593" s="11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1"/>
      <c r="B594" s="11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1"/>
      <c r="B595" s="11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1"/>
      <c r="B596" s="11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1"/>
      <c r="B597" s="11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1"/>
      <c r="B598" s="11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1"/>
      <c r="B599" s="11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1"/>
      <c r="B600" s="11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1"/>
      <c r="B601" s="11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1"/>
      <c r="B602" s="11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1"/>
      <c r="B603" s="11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1"/>
      <c r="B604" s="11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1"/>
      <c r="B605" s="11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1"/>
      <c r="B606" s="11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1"/>
      <c r="B607" s="11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1"/>
      <c r="B608" s="11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1"/>
      <c r="B609" s="11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1"/>
      <c r="B610" s="11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1"/>
      <c r="B611" s="11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1"/>
      <c r="B612" s="11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1"/>
      <c r="B613" s="11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1"/>
      <c r="B614" s="11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1"/>
      <c r="B615" s="11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1"/>
      <c r="B616" s="11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1"/>
      <c r="B617" s="11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1"/>
      <c r="B618" s="11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1"/>
      <c r="B619" s="11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1"/>
      <c r="B620" s="11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1"/>
      <c r="B621" s="11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1"/>
      <c r="B622" s="11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1"/>
      <c r="B623" s="11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1"/>
      <c r="B624" s="11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1"/>
      <c r="B625" s="11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1"/>
      <c r="B626" s="11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1"/>
      <c r="B627" s="11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1"/>
      <c r="B628" s="11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1"/>
      <c r="B629" s="11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1"/>
      <c r="B630" s="11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1"/>
      <c r="B631" s="11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1"/>
      <c r="B632" s="11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1"/>
      <c r="B633" s="11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1"/>
      <c r="B634" s="11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1"/>
      <c r="B635" s="11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1"/>
      <c r="B636" s="11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1"/>
      <c r="B637" s="11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1"/>
      <c r="B638" s="11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1"/>
      <c r="B639" s="11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1"/>
      <c r="B640" s="11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1"/>
      <c r="B641" s="11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1"/>
      <c r="B642" s="11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1"/>
      <c r="B643" s="11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1"/>
      <c r="B644" s="11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1"/>
      <c r="B645" s="11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1"/>
      <c r="B646" s="11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1"/>
      <c r="B647" s="11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1"/>
      <c r="B648" s="11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1"/>
      <c r="B649" s="11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1"/>
      <c r="B650" s="11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1"/>
      <c r="B651" s="11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1"/>
      <c r="B652" s="11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1"/>
      <c r="B653" s="11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1"/>
      <c r="B654" s="11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1"/>
      <c r="B655" s="11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1"/>
      <c r="B656" s="11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1"/>
      <c r="B657" s="11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1"/>
      <c r="B658" s="11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1"/>
      <c r="B659" s="11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1"/>
      <c r="B660" s="11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1"/>
      <c r="B661" s="11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1"/>
      <c r="B662" s="11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1"/>
      <c r="B663" s="11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1"/>
      <c r="B664" s="11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1"/>
      <c r="B665" s="11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1"/>
      <c r="B666" s="11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1"/>
      <c r="B667" s="11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1"/>
      <c r="B668" s="11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1"/>
      <c r="B669" s="11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1"/>
      <c r="B670" s="11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1"/>
      <c r="B671" s="11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1"/>
      <c r="B672" s="11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1"/>
      <c r="B673" s="11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1"/>
      <c r="B674" s="11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1"/>
      <c r="B675" s="11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1"/>
      <c r="B676" s="11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1"/>
      <c r="B677" s="11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1"/>
      <c r="B678" s="11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1"/>
      <c r="B679" s="11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1"/>
      <c r="B680" s="11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1"/>
      <c r="B681" s="11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1"/>
      <c r="B682" s="11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1"/>
      <c r="B683" s="11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1"/>
      <c r="B684" s="11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1"/>
      <c r="B685" s="11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1"/>
      <c r="B686" s="11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1"/>
      <c r="B687" s="11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1"/>
      <c r="B688" s="11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1"/>
      <c r="B689" s="11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1"/>
      <c r="B690" s="11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1"/>
      <c r="B691" s="11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1"/>
      <c r="B692" s="11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1"/>
      <c r="B693" s="11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1"/>
      <c r="B694" s="11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1"/>
      <c r="B695" s="11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1"/>
      <c r="B696" s="11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1"/>
      <c r="B697" s="11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1"/>
      <c r="B698" s="11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1"/>
      <c r="B699" s="11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1"/>
      <c r="B700" s="11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1"/>
      <c r="B701" s="11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1"/>
      <c r="B702" s="11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1"/>
      <c r="B703" s="11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1"/>
      <c r="B704" s="11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1"/>
      <c r="B705" s="11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1"/>
      <c r="B706" s="11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1"/>
      <c r="B707" s="11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1"/>
      <c r="B708" s="11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1"/>
      <c r="B709" s="11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1"/>
      <c r="B710" s="11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1"/>
      <c r="B711" s="11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1"/>
      <c r="B712" s="11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1"/>
      <c r="B713" s="11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1"/>
      <c r="B714" s="11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1"/>
      <c r="B715" s="11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1"/>
      <c r="B716" s="11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1"/>
      <c r="B717" s="11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1"/>
      <c r="B718" s="11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1"/>
      <c r="B719" s="11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1"/>
      <c r="B720" s="11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1"/>
      <c r="B721" s="11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1"/>
      <c r="B722" s="11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1"/>
      <c r="B723" s="11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1"/>
      <c r="B724" s="11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1"/>
      <c r="B725" s="11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1"/>
      <c r="B726" s="11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1"/>
      <c r="B727" s="11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1"/>
      <c r="B728" s="11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1"/>
      <c r="B729" s="11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1"/>
      <c r="B730" s="11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1"/>
      <c r="B731" s="11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1"/>
      <c r="B732" s="11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1"/>
      <c r="B733" s="11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1"/>
      <c r="B734" s="11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1"/>
      <c r="B735" s="11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1"/>
      <c r="B736" s="11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1"/>
      <c r="B737" s="11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1"/>
      <c r="B738" s="11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1"/>
      <c r="B739" s="11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1"/>
      <c r="B740" s="11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1"/>
      <c r="B741" s="11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1"/>
      <c r="B742" s="11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1"/>
      <c r="B743" s="11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1"/>
      <c r="B744" s="11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1"/>
      <c r="B745" s="11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1"/>
      <c r="B746" s="11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1"/>
      <c r="B747" s="11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1"/>
      <c r="B748" s="11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1"/>
      <c r="B749" s="11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1"/>
      <c r="B750" s="11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1"/>
      <c r="B751" s="11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1"/>
      <c r="B752" s="11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1"/>
      <c r="B753" s="11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1"/>
      <c r="B754" s="11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1"/>
      <c r="B755" s="11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1"/>
      <c r="B756" s="11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1"/>
      <c r="B757" s="11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1"/>
      <c r="B758" s="11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1"/>
      <c r="B759" s="11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1"/>
      <c r="B760" s="11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1"/>
      <c r="B761" s="11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1"/>
      <c r="B762" s="11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1"/>
      <c r="B763" s="11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1"/>
      <c r="B764" s="11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1"/>
      <c r="B765" s="11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1"/>
      <c r="B766" s="11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1"/>
      <c r="B767" s="11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1"/>
      <c r="B768" s="11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1"/>
      <c r="B769" s="11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1"/>
      <c r="B770" s="11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1"/>
      <c r="B771" s="11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1"/>
      <c r="B772" s="11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1"/>
      <c r="B773" s="11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1"/>
      <c r="B774" s="11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1"/>
      <c r="B775" s="11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1"/>
      <c r="B776" s="11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1"/>
      <c r="B777" s="11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1"/>
      <c r="B778" s="11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1"/>
      <c r="B779" s="11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1"/>
      <c r="B780" s="11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1"/>
      <c r="B781" s="11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1"/>
      <c r="B782" s="11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1"/>
      <c r="B783" s="11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1"/>
      <c r="B784" s="11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1"/>
      <c r="B785" s="11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1"/>
      <c r="B786" s="11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1"/>
      <c r="B787" s="11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1"/>
      <c r="B788" s="11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1"/>
      <c r="B789" s="11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1"/>
      <c r="B790" s="11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1"/>
      <c r="B791" s="11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1"/>
      <c r="B792" s="11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1"/>
      <c r="B793" s="11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1"/>
      <c r="B794" s="11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1"/>
      <c r="B795" s="11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1"/>
      <c r="B796" s="11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1"/>
      <c r="B797" s="11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1"/>
      <c r="B798" s="11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1"/>
      <c r="B799" s="11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1"/>
      <c r="B800" s="11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1"/>
      <c r="B801" s="11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1"/>
      <c r="B802" s="11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1"/>
      <c r="B803" s="11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1"/>
      <c r="B804" s="11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1"/>
      <c r="B805" s="11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1"/>
      <c r="B806" s="11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1"/>
      <c r="B807" s="11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1"/>
      <c r="B808" s="11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1"/>
      <c r="B809" s="11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1"/>
      <c r="B810" s="11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1"/>
      <c r="B811" s="11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1"/>
      <c r="B812" s="11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1"/>
      <c r="B813" s="11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1"/>
      <c r="B814" s="11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1"/>
      <c r="B815" s="11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1"/>
      <c r="B816" s="11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1"/>
      <c r="B817" s="11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1"/>
      <c r="B818" s="11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1"/>
      <c r="B819" s="11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1"/>
      <c r="B820" s="11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1"/>
      <c r="B821" s="11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1"/>
      <c r="B822" s="11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1"/>
      <c r="B823" s="11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1"/>
      <c r="B824" s="11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1"/>
      <c r="B825" s="11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1"/>
      <c r="B826" s="11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1"/>
      <c r="B827" s="11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1"/>
      <c r="B828" s="11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1"/>
      <c r="B829" s="11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1"/>
      <c r="B830" s="11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1"/>
      <c r="B831" s="11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1"/>
      <c r="B832" s="11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1"/>
      <c r="B833" s="11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1"/>
      <c r="B834" s="11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1"/>
      <c r="B835" s="11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1"/>
      <c r="B836" s="11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1"/>
      <c r="B837" s="11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1"/>
      <c r="B838" s="11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1"/>
      <c r="B839" s="11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1"/>
      <c r="B840" s="11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1"/>
      <c r="B841" s="11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1"/>
      <c r="B842" s="11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1"/>
      <c r="B843" s="11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1"/>
      <c r="B844" s="11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1"/>
      <c r="B845" s="11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1"/>
      <c r="B846" s="11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1"/>
      <c r="B847" s="11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1"/>
      <c r="B848" s="11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1"/>
      <c r="B849" s="11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1"/>
      <c r="B850" s="11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1"/>
      <c r="B851" s="11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1"/>
      <c r="B852" s="11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1"/>
      <c r="B853" s="11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1"/>
      <c r="B854" s="11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1"/>
      <c r="B855" s="11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1"/>
      <c r="B856" s="11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1"/>
      <c r="B857" s="11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1"/>
      <c r="B858" s="11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1"/>
      <c r="B859" s="11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1"/>
      <c r="B860" s="11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1"/>
      <c r="B861" s="11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1"/>
      <c r="B862" s="11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1"/>
      <c r="B863" s="11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1"/>
      <c r="B864" s="11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1"/>
      <c r="B865" s="11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1"/>
      <c r="B866" s="11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1"/>
      <c r="B867" s="11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1"/>
      <c r="B868" s="11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1"/>
      <c r="B869" s="11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1"/>
      <c r="B870" s="11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1"/>
      <c r="B871" s="11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1"/>
      <c r="B872" s="11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1"/>
      <c r="B873" s="11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1"/>
      <c r="B874" s="11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1"/>
      <c r="B875" s="11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1"/>
      <c r="B876" s="11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1"/>
      <c r="B877" s="11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1"/>
      <c r="B878" s="11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1"/>
      <c r="B879" s="11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1"/>
      <c r="B880" s="11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1"/>
      <c r="B881" s="11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1"/>
      <c r="B882" s="11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1"/>
      <c r="B883" s="11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1"/>
      <c r="B884" s="11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1"/>
      <c r="B885" s="11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1"/>
      <c r="B886" s="11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1"/>
      <c r="B887" s="11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1"/>
      <c r="B888" s="11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1"/>
      <c r="B889" s="11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1"/>
      <c r="B890" s="11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1"/>
      <c r="B891" s="11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1"/>
      <c r="B892" s="11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1"/>
      <c r="B893" s="11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1"/>
      <c r="B894" s="11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1"/>
      <c r="B895" s="11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1"/>
      <c r="B896" s="11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1"/>
      <c r="B897" s="11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1"/>
      <c r="B898" s="11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1"/>
      <c r="B899" s="11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1"/>
      <c r="B900" s="11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1"/>
      <c r="B901" s="11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1"/>
      <c r="B902" s="11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1"/>
      <c r="B903" s="11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1"/>
      <c r="B904" s="11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1"/>
      <c r="B905" s="11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1"/>
      <c r="B906" s="11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1"/>
      <c r="B907" s="11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1"/>
      <c r="B908" s="11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1"/>
      <c r="B909" s="11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1"/>
      <c r="B910" s="11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1"/>
      <c r="B911" s="11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1"/>
      <c r="B912" s="11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1"/>
      <c r="B913" s="11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1"/>
      <c r="B914" s="11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1"/>
      <c r="B915" s="11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1"/>
      <c r="B916" s="11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1"/>
      <c r="B917" s="11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1"/>
      <c r="B918" s="11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1"/>
      <c r="B919" s="11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1"/>
      <c r="B920" s="11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1"/>
      <c r="B921" s="11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1"/>
      <c r="B922" s="11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1"/>
      <c r="B923" s="11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1"/>
      <c r="B924" s="11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1"/>
      <c r="B925" s="11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1"/>
      <c r="B926" s="11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1"/>
      <c r="B927" s="11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1"/>
      <c r="B928" s="11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1"/>
      <c r="B929" s="11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1"/>
      <c r="B930" s="11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1"/>
      <c r="B931" s="11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1"/>
      <c r="B932" s="11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1"/>
      <c r="B933" s="11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1"/>
      <c r="B934" s="11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1"/>
      <c r="B935" s="11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1"/>
      <c r="B936" s="11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1"/>
      <c r="B937" s="11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1"/>
      <c r="B938" s="11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1"/>
      <c r="B939" s="11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1"/>
      <c r="B940" s="11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1"/>
      <c r="B941" s="11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1"/>
      <c r="B942" s="11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1"/>
      <c r="B943" s="11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1"/>
      <c r="B944" s="11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1"/>
      <c r="B945" s="11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1"/>
      <c r="B946" s="11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1"/>
      <c r="B947" s="11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1"/>
      <c r="B948" s="11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1"/>
      <c r="B949" s="11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1"/>
      <c r="B950" s="11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1"/>
      <c r="B951" s="11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1"/>
      <c r="B952" s="11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1"/>
      <c r="B953" s="11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1"/>
      <c r="B954" s="11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1"/>
      <c r="B955" s="11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1"/>
      <c r="B956" s="11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1"/>
      <c r="B957" s="11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1"/>
      <c r="B958" s="11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1"/>
      <c r="B959" s="11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1"/>
      <c r="B960" s="11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1"/>
      <c r="B961" s="11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1"/>
      <c r="B962" s="11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1"/>
      <c r="B963" s="11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1"/>
      <c r="B964" s="11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1"/>
      <c r="B965" s="11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1"/>
      <c r="B966" s="11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1"/>
      <c r="B967" s="11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1"/>
      <c r="B968" s="11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1"/>
      <c r="B969" s="11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1"/>
      <c r="B970" s="11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1"/>
      <c r="B971" s="11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1"/>
      <c r="B972" s="11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1"/>
      <c r="B973" s="11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1"/>
      <c r="B974" s="11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1"/>
      <c r="B975" s="11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1"/>
      <c r="B976" s="11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1"/>
      <c r="B977" s="11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1"/>
      <c r="B978" s="11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1"/>
      <c r="B979" s="11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1"/>
      <c r="B980" s="11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1"/>
      <c r="B981" s="11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1"/>
      <c r="B982" s="11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1"/>
      <c r="B983" s="11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1"/>
      <c r="B984" s="11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1"/>
      <c r="B985" s="11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1"/>
      <c r="B986" s="11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1"/>
      <c r="B987" s="11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1"/>
      <c r="B988" s="11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1"/>
      <c r="B989" s="11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1"/>
      <c r="B990" s="11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1"/>
      <c r="B991" s="11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1"/>
      <c r="B992" s="11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1"/>
      <c r="B993" s="11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1"/>
      <c r="B994" s="11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1"/>
      <c r="B995" s="11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1"/>
      <c r="B996" s="11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1"/>
      <c r="B997" s="11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1"/>
      <c r="B998" s="11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1"/>
      <c r="B999" s="11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1"/>
      <c r="B1000" s="11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3.5"/>
    <col customWidth="1" min="3" max="3" width="33.0"/>
    <col customWidth="1" min="4" max="4" width="14.63"/>
    <col customWidth="1" min="5" max="5" width="18.13"/>
  </cols>
  <sheetData>
    <row r="1">
      <c r="A1" s="3" t="s">
        <v>12</v>
      </c>
      <c r="B1" s="3" t="s">
        <v>2</v>
      </c>
      <c r="C1" s="3" t="s">
        <v>4</v>
      </c>
      <c r="D1" s="3" t="s">
        <v>14</v>
      </c>
      <c r="E1" s="3" t="s">
        <v>3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1">
        <v>46163.501023969904</v>
      </c>
      <c r="B2" s="10" t="s">
        <v>11</v>
      </c>
      <c r="C2" s="10" t="s">
        <v>13</v>
      </c>
      <c r="D2" s="22">
        <v>1.0</v>
      </c>
      <c r="E2" s="10" t="s">
        <v>23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1">
        <v>46163.50133274306</v>
      </c>
      <c r="B3" s="10" t="s">
        <v>11</v>
      </c>
      <c r="C3" s="10" t="s">
        <v>13</v>
      </c>
      <c r="D3" s="22">
        <v>1.0</v>
      </c>
      <c r="E3" s="10" t="s">
        <v>23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1">
        <v>46163.50904009259</v>
      </c>
      <c r="B4" s="10" t="s">
        <v>11</v>
      </c>
      <c r="C4" s="10" t="s">
        <v>13</v>
      </c>
      <c r="D4" s="22">
        <v>1.0</v>
      </c>
      <c r="E4" s="10" t="s">
        <v>23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1">
        <v>46163.5091521412</v>
      </c>
      <c r="B5" s="10" t="s">
        <v>11</v>
      </c>
      <c r="C5" s="10" t="s">
        <v>13</v>
      </c>
      <c r="D5" s="22">
        <v>1.0</v>
      </c>
      <c r="E5" s="10" t="s">
        <v>23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1">
        <v>46163.51076719907</v>
      </c>
      <c r="B6" s="10" t="s">
        <v>11</v>
      </c>
      <c r="C6" s="10" t="s">
        <v>13</v>
      </c>
      <c r="D6" s="22">
        <v>1.0</v>
      </c>
      <c r="E6" s="10" t="s">
        <v>23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1">
        <v>46163.51176271991</v>
      </c>
      <c r="B7" s="10" t="s">
        <v>11</v>
      </c>
      <c r="C7" s="10" t="s">
        <v>13</v>
      </c>
      <c r="D7" s="22">
        <v>1.0</v>
      </c>
      <c r="E7" s="10" t="s">
        <v>23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1">
        <v>46163.520404780094</v>
      </c>
      <c r="B8" s="10" t="s">
        <v>11</v>
      </c>
      <c r="C8" s="10" t="s">
        <v>13</v>
      </c>
      <c r="D8" s="22">
        <v>1.0</v>
      </c>
      <c r="E8" s="10" t="s">
        <v>23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1">
        <v>46163.52562313658</v>
      </c>
      <c r="B9" s="10" t="s">
        <v>15</v>
      </c>
      <c r="C9" s="10" t="s">
        <v>51</v>
      </c>
      <c r="D9" s="22">
        <v>1.0</v>
      </c>
      <c r="E9" s="10" t="s">
        <v>23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1">
        <v>46163.52818332176</v>
      </c>
      <c r="B10" s="10" t="s">
        <v>20</v>
      </c>
      <c r="C10" s="10" t="s">
        <v>56</v>
      </c>
      <c r="D10" s="22">
        <v>1.0</v>
      </c>
      <c r="E10" s="10" t="s">
        <v>23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21">
        <v>46163.53597414352</v>
      </c>
      <c r="B11" s="10" t="s">
        <v>11</v>
      </c>
      <c r="C11" s="10" t="s">
        <v>13</v>
      </c>
      <c r="D11" s="22">
        <v>1.0</v>
      </c>
      <c r="E11" s="10" t="s">
        <v>23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1">
        <v>46163.536184756944</v>
      </c>
      <c r="B12" s="10" t="s">
        <v>11</v>
      </c>
      <c r="C12" s="10" t="s">
        <v>13</v>
      </c>
      <c r="D12" s="22">
        <v>1.0</v>
      </c>
      <c r="E12" s="10" t="s">
        <v>23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21">
        <v>46163.53621924769</v>
      </c>
      <c r="B13" s="10" t="s">
        <v>11</v>
      </c>
      <c r="C13" s="10" t="s">
        <v>13</v>
      </c>
      <c r="D13" s="22">
        <v>1.0</v>
      </c>
      <c r="E13" s="10" t="s">
        <v>23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1">
        <v>46163.53625232639</v>
      </c>
      <c r="B14" s="10" t="s">
        <v>11</v>
      </c>
      <c r="C14" s="10" t="s">
        <v>13</v>
      </c>
      <c r="D14" s="22">
        <v>1.0</v>
      </c>
      <c r="E14" s="10" t="s">
        <v>23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1">
        <v>46163.539286875</v>
      </c>
      <c r="B15" s="10" t="s">
        <v>12</v>
      </c>
      <c r="C15" s="10" t="s">
        <v>74</v>
      </c>
      <c r="D15" s="22">
        <v>10.0</v>
      </c>
      <c r="E15" s="10" t="s">
        <v>23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21">
        <v>46163.53928965278</v>
      </c>
      <c r="B16" s="10" t="s">
        <v>12</v>
      </c>
      <c r="C16" s="10" t="s">
        <v>74</v>
      </c>
      <c r="D16" s="22">
        <v>10.0</v>
      </c>
      <c r="E16" s="10" t="s">
        <v>23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21">
        <v>46163.540073738426</v>
      </c>
      <c r="B17" s="10" t="s">
        <v>12</v>
      </c>
      <c r="C17" s="10" t="s">
        <v>74</v>
      </c>
      <c r="D17" s="22">
        <v>10.0</v>
      </c>
      <c r="E17" s="10" t="s">
        <v>23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21">
        <v>46163.540391076385</v>
      </c>
      <c r="B18" s="10" t="s">
        <v>12</v>
      </c>
      <c r="C18" s="10" t="s">
        <v>74</v>
      </c>
      <c r="D18" s="22">
        <v>10.0</v>
      </c>
      <c r="E18" s="10" t="s">
        <v>23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21">
        <v>46163.540605138885</v>
      </c>
      <c r="B19" s="10" t="s">
        <v>12</v>
      </c>
      <c r="C19" s="10" t="s">
        <v>74</v>
      </c>
      <c r="D19" s="22">
        <v>10.0</v>
      </c>
      <c r="E19" s="10" t="s">
        <v>23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21">
        <v>46163.54083336805</v>
      </c>
      <c r="B20" s="10" t="s">
        <v>12</v>
      </c>
      <c r="C20" s="10" t="s">
        <v>74</v>
      </c>
      <c r="D20" s="22">
        <v>10.0</v>
      </c>
      <c r="E20" s="10" t="s">
        <v>23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21">
        <v>46163.54107546296</v>
      </c>
      <c r="B21" s="10" t="s">
        <v>12</v>
      </c>
      <c r="C21" s="10" t="s">
        <v>74</v>
      </c>
      <c r="D21" s="22">
        <v>10.0</v>
      </c>
      <c r="E21" s="10" t="s">
        <v>23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21">
        <v>46163.541275254625</v>
      </c>
      <c r="B22" s="10" t="s">
        <v>12</v>
      </c>
      <c r="C22" s="10" t="s">
        <v>74</v>
      </c>
      <c r="D22" s="22">
        <v>10.0</v>
      </c>
      <c r="E22" s="10" t="s">
        <v>23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21">
        <v>46163.54168278935</v>
      </c>
      <c r="B23" s="10" t="s">
        <v>12</v>
      </c>
      <c r="C23" s="10" t="s">
        <v>74</v>
      </c>
      <c r="D23" s="22">
        <v>10.0</v>
      </c>
      <c r="E23" s="10" t="s">
        <v>23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21">
        <v>46163.54172136574</v>
      </c>
      <c r="B24" s="10" t="s">
        <v>12</v>
      </c>
      <c r="C24" s="10" t="s">
        <v>74</v>
      </c>
      <c r="D24" s="22">
        <v>10.0</v>
      </c>
      <c r="E24" s="10" t="s">
        <v>23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21">
        <v>46163.54270726852</v>
      </c>
      <c r="B25" s="10" t="s">
        <v>12</v>
      </c>
      <c r="C25" s="10" t="s">
        <v>74</v>
      </c>
      <c r="D25" s="22">
        <v>5.0</v>
      </c>
      <c r="E25" s="10" t="s">
        <v>23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21">
        <v>46163.55659335648</v>
      </c>
      <c r="B26" s="10" t="s">
        <v>121</v>
      </c>
      <c r="C26" s="10" t="s">
        <v>122</v>
      </c>
      <c r="D26" s="13"/>
      <c r="E26" s="10" t="s">
        <v>123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21">
        <v>46163.556826886575</v>
      </c>
      <c r="B27" s="10" t="s">
        <v>127</v>
      </c>
      <c r="C27" s="10" t="s">
        <v>128</v>
      </c>
      <c r="D27" s="22">
        <v>10.0</v>
      </c>
      <c r="E27" s="10" t="s">
        <v>23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21">
        <v>46163.55702875</v>
      </c>
      <c r="B28" s="10" t="s">
        <v>127</v>
      </c>
      <c r="C28" s="10" t="s">
        <v>128</v>
      </c>
      <c r="D28" s="22">
        <v>10.0</v>
      </c>
      <c r="E28" s="10" t="s">
        <v>23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21">
        <v>46163.56074340278</v>
      </c>
      <c r="B29" s="10" t="s">
        <v>136</v>
      </c>
      <c r="C29" s="10" t="s">
        <v>137</v>
      </c>
      <c r="D29" s="22">
        <v>10.0</v>
      </c>
      <c r="E29" s="10" t="s">
        <v>23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21">
        <v>46163.56154609953</v>
      </c>
      <c r="B30" s="10" t="s">
        <v>136</v>
      </c>
      <c r="C30" s="10" t="s">
        <v>137</v>
      </c>
      <c r="D30" s="22">
        <v>10.0</v>
      </c>
      <c r="E30" s="10" t="s">
        <v>23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21">
        <v>46163.561916273145</v>
      </c>
      <c r="B31" s="10" t="s">
        <v>136</v>
      </c>
      <c r="C31" s="10" t="s">
        <v>137</v>
      </c>
      <c r="D31" s="22">
        <v>10.0</v>
      </c>
      <c r="E31" s="10" t="s">
        <v>23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21">
        <v>46163.56241564815</v>
      </c>
      <c r="B32" s="10" t="s">
        <v>136</v>
      </c>
      <c r="C32" s="10" t="s">
        <v>137</v>
      </c>
      <c r="D32" s="22">
        <v>10.0</v>
      </c>
      <c r="E32" s="10" t="s">
        <v>23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21">
        <v>46163.562782141205</v>
      </c>
      <c r="B33" s="10" t="s">
        <v>136</v>
      </c>
      <c r="C33" s="10" t="s">
        <v>137</v>
      </c>
      <c r="D33" s="22">
        <v>10.0</v>
      </c>
      <c r="E33" s="10" t="s">
        <v>23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21">
        <v>46163.56336438657</v>
      </c>
      <c r="B34" s="10" t="s">
        <v>136</v>
      </c>
      <c r="C34" s="10" t="s">
        <v>137</v>
      </c>
      <c r="D34" s="22">
        <v>10.0</v>
      </c>
      <c r="E34" s="10" t="s">
        <v>23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21">
        <v>46163.56365751158</v>
      </c>
      <c r="B35" s="10" t="s">
        <v>136</v>
      </c>
      <c r="C35" s="10" t="s">
        <v>137</v>
      </c>
      <c r="D35" s="22">
        <v>10.0</v>
      </c>
      <c r="E35" s="10" t="s">
        <v>23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21">
        <v>46163.56626723379</v>
      </c>
      <c r="B36" s="10" t="s">
        <v>151</v>
      </c>
      <c r="C36" s="10" t="s">
        <v>153</v>
      </c>
      <c r="D36" s="22">
        <v>10.0</v>
      </c>
      <c r="E36" s="10" t="s">
        <v>23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21">
        <v>46163.566479699075</v>
      </c>
      <c r="B37" s="10" t="s">
        <v>151</v>
      </c>
      <c r="C37" s="10" t="s">
        <v>153</v>
      </c>
      <c r="D37" s="22">
        <v>10.0</v>
      </c>
      <c r="E37" s="10" t="s">
        <v>23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1">
        <v>46163.56670098379</v>
      </c>
      <c r="B38" s="10" t="s">
        <v>151</v>
      </c>
      <c r="C38" s="10" t="s">
        <v>153</v>
      </c>
      <c r="D38" s="22">
        <v>10.0</v>
      </c>
      <c r="E38" s="10" t="s">
        <v>23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1">
        <v>46163.566955752314</v>
      </c>
      <c r="B39" s="10" t="s">
        <v>151</v>
      </c>
      <c r="C39" s="10" t="s">
        <v>153</v>
      </c>
      <c r="D39" s="22">
        <v>10.0</v>
      </c>
      <c r="E39" s="10" t="s">
        <v>23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21">
        <v>46163.57955459491</v>
      </c>
      <c r="B40" s="10" t="s">
        <v>163</v>
      </c>
      <c r="C40" s="10" t="s">
        <v>164</v>
      </c>
      <c r="D40" s="22">
        <v>10.0</v>
      </c>
      <c r="E40" s="10" t="s">
        <v>23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21">
        <v>46163.58002096065</v>
      </c>
      <c r="B41" s="10" t="s">
        <v>163</v>
      </c>
      <c r="C41" s="10" t="s">
        <v>164</v>
      </c>
      <c r="D41" s="22">
        <v>10.0</v>
      </c>
      <c r="E41" s="10" t="s">
        <v>23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21">
        <v>46163.58559785879</v>
      </c>
      <c r="B42" s="10" t="s">
        <v>169</v>
      </c>
      <c r="C42" s="10" t="s">
        <v>171</v>
      </c>
      <c r="D42" s="22">
        <v>10.0</v>
      </c>
      <c r="E42" s="10" t="s">
        <v>23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21">
        <v>46163.594432881946</v>
      </c>
      <c r="B43" s="10" t="s">
        <v>175</v>
      </c>
      <c r="C43" s="10" t="s">
        <v>176</v>
      </c>
      <c r="D43" s="22">
        <v>10.0</v>
      </c>
      <c r="E43" s="10" t="s">
        <v>23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21">
        <v>46163.594656932866</v>
      </c>
      <c r="B44" s="10" t="s">
        <v>175</v>
      </c>
      <c r="C44" s="10" t="s">
        <v>176</v>
      </c>
      <c r="D44" s="22">
        <v>10.0</v>
      </c>
      <c r="E44" s="10" t="s">
        <v>23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21">
        <v>46163.60099476852</v>
      </c>
      <c r="B45" s="10" t="s">
        <v>181</v>
      </c>
      <c r="C45" s="10" t="s">
        <v>182</v>
      </c>
      <c r="D45" s="22">
        <v>10.0</v>
      </c>
      <c r="E45" s="10" t="s">
        <v>23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21">
        <v>46163.63978358796</v>
      </c>
      <c r="B46" s="10" t="s">
        <v>181</v>
      </c>
      <c r="C46" s="10" t="s">
        <v>186</v>
      </c>
      <c r="D46" s="22">
        <v>10.0</v>
      </c>
      <c r="E46" s="10" t="s">
        <v>23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21">
        <v>46163.63996526621</v>
      </c>
      <c r="B47" s="10" t="s">
        <v>181</v>
      </c>
      <c r="C47" s="10" t="s">
        <v>186</v>
      </c>
      <c r="D47" s="22">
        <v>10.0</v>
      </c>
      <c r="E47" s="10" t="s">
        <v>23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21">
        <v>46163.6401396875</v>
      </c>
      <c r="B48" s="10" t="s">
        <v>181</v>
      </c>
      <c r="C48" s="10" t="s">
        <v>186</v>
      </c>
      <c r="D48" s="22">
        <v>10.0</v>
      </c>
      <c r="E48" s="10" t="s">
        <v>23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21">
        <v>46163.640354965275</v>
      </c>
      <c r="B49" s="10" t="s">
        <v>181</v>
      </c>
      <c r="C49" s="10" t="s">
        <v>186</v>
      </c>
      <c r="D49" s="22">
        <v>10.0</v>
      </c>
      <c r="E49" s="10" t="s">
        <v>23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21">
        <v>46163.64056428241</v>
      </c>
      <c r="B50" s="10" t="s">
        <v>181</v>
      </c>
      <c r="C50" s="10" t="s">
        <v>186</v>
      </c>
      <c r="D50" s="22">
        <v>10.0</v>
      </c>
      <c r="E50" s="10" t="s">
        <v>23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21">
        <v>46163.6407505324</v>
      </c>
      <c r="B51" s="10" t="s">
        <v>181</v>
      </c>
      <c r="C51" s="10" t="s">
        <v>186</v>
      </c>
      <c r="D51" s="22">
        <v>10.0</v>
      </c>
      <c r="E51" s="10" t="s">
        <v>23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21">
        <v>46163.663215347224</v>
      </c>
      <c r="B52" s="10" t="s">
        <v>208</v>
      </c>
      <c r="C52" s="10" t="s">
        <v>210</v>
      </c>
      <c r="D52" s="22">
        <v>10.0</v>
      </c>
      <c r="E52" s="10" t="s">
        <v>23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21">
        <v>46163.663354398144</v>
      </c>
      <c r="B53" s="10" t="s">
        <v>208</v>
      </c>
      <c r="C53" s="10" t="s">
        <v>210</v>
      </c>
      <c r="D53" s="22">
        <v>10.0</v>
      </c>
      <c r="E53" s="10" t="s">
        <v>23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21">
        <v>46163.663549178236</v>
      </c>
      <c r="B54" s="10" t="s">
        <v>208</v>
      </c>
      <c r="C54" s="10" t="s">
        <v>210</v>
      </c>
      <c r="D54" s="22">
        <v>10.0</v>
      </c>
      <c r="E54" s="10" t="s">
        <v>23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21">
        <v>46163.663702465274</v>
      </c>
      <c r="B55" s="10" t="s">
        <v>208</v>
      </c>
      <c r="C55" s="10" t="s">
        <v>210</v>
      </c>
      <c r="D55" s="22">
        <v>10.0</v>
      </c>
      <c r="E55" s="10" t="s">
        <v>23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21">
        <v>46163.66382927084</v>
      </c>
      <c r="B56" s="10" t="s">
        <v>208</v>
      </c>
      <c r="C56" s="10" t="s">
        <v>210</v>
      </c>
      <c r="D56" s="22">
        <v>10.0</v>
      </c>
      <c r="E56" s="10" t="s">
        <v>23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21">
        <v>46163.66405584491</v>
      </c>
      <c r="B57" s="10" t="s">
        <v>208</v>
      </c>
      <c r="C57" s="10" t="s">
        <v>210</v>
      </c>
      <c r="D57" s="22">
        <v>10.0</v>
      </c>
      <c r="E57" s="10" t="s">
        <v>23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21">
        <v>46163.70222340278</v>
      </c>
      <c r="B58" s="10" t="s">
        <v>211</v>
      </c>
      <c r="C58" s="10" t="s">
        <v>236</v>
      </c>
      <c r="D58" s="22">
        <v>4.0</v>
      </c>
      <c r="E58" s="10" t="s">
        <v>23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21">
        <v>46163.70225710648</v>
      </c>
      <c r="B59" s="10" t="s">
        <v>211</v>
      </c>
      <c r="C59" s="10" t="s">
        <v>236</v>
      </c>
      <c r="D59" s="22">
        <v>4.0</v>
      </c>
      <c r="E59" s="10" t="s">
        <v>23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21">
        <v>46163.70230512731</v>
      </c>
      <c r="B60" s="10" t="s">
        <v>211</v>
      </c>
      <c r="C60" s="10" t="s">
        <v>236</v>
      </c>
      <c r="D60" s="22">
        <v>4.0</v>
      </c>
      <c r="E60" s="10" t="s">
        <v>23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21">
        <v>46163.702342476856</v>
      </c>
      <c r="B61" s="10" t="s">
        <v>211</v>
      </c>
      <c r="C61" s="10" t="s">
        <v>236</v>
      </c>
      <c r="D61" s="22">
        <v>4.0</v>
      </c>
      <c r="E61" s="10" t="s">
        <v>23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21">
        <v>46163.7023625</v>
      </c>
      <c r="B62" s="10" t="s">
        <v>211</v>
      </c>
      <c r="C62" s="10" t="s">
        <v>236</v>
      </c>
      <c r="D62" s="22">
        <v>4.0</v>
      </c>
      <c r="E62" s="10" t="s">
        <v>23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21">
        <v>46163.702414467596</v>
      </c>
      <c r="B63" s="10" t="s">
        <v>211</v>
      </c>
      <c r="C63" s="10" t="s">
        <v>236</v>
      </c>
      <c r="D63" s="22">
        <v>4.0</v>
      </c>
      <c r="E63" s="10" t="s">
        <v>23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21">
        <v>46163.702520011575</v>
      </c>
      <c r="B64" s="10" t="s">
        <v>211</v>
      </c>
      <c r="C64" s="10" t="s">
        <v>236</v>
      </c>
      <c r="D64" s="22">
        <v>4.0</v>
      </c>
      <c r="E64" s="10" t="s">
        <v>23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21">
        <v>46163.702573622686</v>
      </c>
      <c r="B65" s="10" t="s">
        <v>211</v>
      </c>
      <c r="C65" s="10" t="s">
        <v>236</v>
      </c>
      <c r="D65" s="22">
        <v>4.0</v>
      </c>
      <c r="E65" s="10" t="s">
        <v>23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21">
        <v>46163.70260362269</v>
      </c>
      <c r="B66" s="10" t="s">
        <v>211</v>
      </c>
      <c r="C66" s="10" t="s">
        <v>236</v>
      </c>
      <c r="D66" s="22">
        <v>4.0</v>
      </c>
      <c r="E66" s="10" t="s">
        <v>23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21">
        <v>46163.70262972222</v>
      </c>
      <c r="B67" s="10" t="s">
        <v>211</v>
      </c>
      <c r="C67" s="10" t="s">
        <v>236</v>
      </c>
      <c r="D67" s="22">
        <v>4.0</v>
      </c>
      <c r="E67" s="10" t="s">
        <v>23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21">
        <v>46163.70265078703</v>
      </c>
      <c r="B68" s="10" t="s">
        <v>211</v>
      </c>
      <c r="C68" s="10" t="s">
        <v>236</v>
      </c>
      <c r="D68" s="22">
        <v>4.0</v>
      </c>
      <c r="E68" s="10" t="s">
        <v>23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21">
        <v>46163.702663425924</v>
      </c>
      <c r="B69" s="10" t="s">
        <v>211</v>
      </c>
      <c r="C69" s="10" t="s">
        <v>236</v>
      </c>
      <c r="D69" s="22">
        <v>4.0</v>
      </c>
      <c r="E69" s="10" t="s">
        <v>23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21">
        <v>46163.70274930555</v>
      </c>
      <c r="B70" s="10" t="s">
        <v>211</v>
      </c>
      <c r="C70" s="10" t="s">
        <v>236</v>
      </c>
      <c r="D70" s="22">
        <v>4.0</v>
      </c>
      <c r="E70" s="10" t="s">
        <v>23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21">
        <v>46163.702778437495</v>
      </c>
      <c r="B71" s="10" t="s">
        <v>211</v>
      </c>
      <c r="C71" s="10" t="s">
        <v>236</v>
      </c>
      <c r="D71" s="22">
        <v>4.0</v>
      </c>
      <c r="E71" s="10" t="s">
        <v>23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21">
        <v>46163.70280798611</v>
      </c>
      <c r="B72" s="10" t="s">
        <v>211</v>
      </c>
      <c r="C72" s="10" t="s">
        <v>236</v>
      </c>
      <c r="D72" s="22">
        <v>4.0</v>
      </c>
      <c r="E72" s="10" t="s">
        <v>23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21">
        <v>46163.70290065972</v>
      </c>
      <c r="B73" s="10" t="s">
        <v>211</v>
      </c>
      <c r="C73" s="10" t="s">
        <v>236</v>
      </c>
      <c r="D73" s="22">
        <v>4.0</v>
      </c>
      <c r="E73" s="10" t="s">
        <v>23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21">
        <v>46163.702945578705</v>
      </c>
      <c r="B74" s="10" t="s">
        <v>211</v>
      </c>
      <c r="C74" s="10" t="s">
        <v>236</v>
      </c>
      <c r="D74" s="22">
        <v>4.0</v>
      </c>
      <c r="E74" s="10" t="s">
        <v>23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21">
        <v>46163.702975844906</v>
      </c>
      <c r="B75" s="10" t="s">
        <v>211</v>
      </c>
      <c r="C75" s="10" t="s">
        <v>236</v>
      </c>
      <c r="D75" s="22">
        <v>4.0</v>
      </c>
      <c r="E75" s="10" t="s">
        <v>23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21">
        <v>46163.70301341436</v>
      </c>
      <c r="B76" s="10" t="s">
        <v>211</v>
      </c>
      <c r="C76" s="10" t="s">
        <v>236</v>
      </c>
      <c r="D76" s="22">
        <v>4.0</v>
      </c>
      <c r="E76" s="10" t="s">
        <v>23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21">
        <v>46163.703061168984</v>
      </c>
      <c r="B77" s="10" t="s">
        <v>211</v>
      </c>
      <c r="C77" s="10" t="s">
        <v>236</v>
      </c>
      <c r="D77" s="22">
        <v>4.0</v>
      </c>
      <c r="E77" s="10" t="s">
        <v>23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21">
        <v>46163.70309792824</v>
      </c>
      <c r="B78" s="10" t="s">
        <v>211</v>
      </c>
      <c r="C78" s="10" t="s">
        <v>236</v>
      </c>
      <c r="D78" s="22">
        <v>4.0</v>
      </c>
      <c r="E78" s="10" t="s">
        <v>23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21">
        <v>46163.70313521991</v>
      </c>
      <c r="B79" s="10" t="s">
        <v>211</v>
      </c>
      <c r="C79" s="10" t="s">
        <v>236</v>
      </c>
      <c r="D79" s="22">
        <v>4.0</v>
      </c>
      <c r="E79" s="10" t="s">
        <v>23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3"/>
      <c r="B80" s="13"/>
      <c r="C80" s="13"/>
      <c r="D80" s="13"/>
      <c r="E80" s="13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3"/>
      <c r="B81" s="13"/>
      <c r="C81" s="13"/>
      <c r="D81" s="13"/>
      <c r="E81" s="13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3"/>
      <c r="B82" s="13"/>
      <c r="C82" s="13"/>
      <c r="D82" s="13"/>
      <c r="E82" s="13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3"/>
      <c r="B83" s="13"/>
      <c r="C83" s="13"/>
      <c r="D83" s="13"/>
      <c r="E83" s="13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3"/>
      <c r="B84" s="13"/>
      <c r="C84" s="13"/>
      <c r="D84" s="13"/>
      <c r="E84" s="13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3"/>
      <c r="B85" s="13"/>
      <c r="C85" s="13"/>
      <c r="D85" s="13"/>
      <c r="E85" s="1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3"/>
      <c r="B86" s="13"/>
      <c r="C86" s="13"/>
      <c r="D86" s="13"/>
      <c r="E86" s="13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3"/>
      <c r="B87" s="13"/>
      <c r="C87" s="13"/>
      <c r="D87" s="13"/>
      <c r="E87" s="1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3"/>
      <c r="B88" s="13"/>
      <c r="C88" s="13"/>
      <c r="D88" s="13"/>
      <c r="E88" s="13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3"/>
      <c r="B89" s="13"/>
      <c r="C89" s="13"/>
      <c r="D89" s="13"/>
      <c r="E89" s="13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3"/>
      <c r="B90" s="13"/>
      <c r="C90" s="13"/>
      <c r="D90" s="13"/>
      <c r="E90" s="13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3"/>
      <c r="B91" s="13"/>
      <c r="C91" s="13"/>
      <c r="D91" s="13"/>
      <c r="E91" s="13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3"/>
      <c r="B92" s="13"/>
      <c r="C92" s="13"/>
      <c r="D92" s="13"/>
      <c r="E92" s="13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3"/>
      <c r="B93" s="13"/>
      <c r="C93" s="13"/>
      <c r="D93" s="13"/>
      <c r="E93" s="13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3"/>
      <c r="B94" s="13"/>
      <c r="C94" s="13"/>
      <c r="D94" s="13"/>
      <c r="E94" s="13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3"/>
      <c r="B95" s="13"/>
      <c r="C95" s="13"/>
      <c r="D95" s="13"/>
      <c r="E95" s="13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3"/>
      <c r="B96" s="13"/>
      <c r="C96" s="13"/>
      <c r="D96" s="13"/>
      <c r="E96" s="13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3"/>
      <c r="B97" s="13"/>
      <c r="C97" s="13"/>
      <c r="D97" s="13"/>
      <c r="E97" s="13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3"/>
      <c r="B98" s="13"/>
      <c r="C98" s="13"/>
      <c r="D98" s="13"/>
      <c r="E98" s="13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3"/>
      <c r="B99" s="13"/>
      <c r="C99" s="13"/>
      <c r="D99" s="13"/>
      <c r="E99" s="13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3"/>
      <c r="B100" s="13"/>
      <c r="C100" s="13"/>
      <c r="D100" s="13"/>
      <c r="E100" s="13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3"/>
      <c r="B101" s="13"/>
      <c r="C101" s="13"/>
      <c r="D101" s="13"/>
      <c r="E101" s="13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3"/>
      <c r="B102" s="13"/>
      <c r="C102" s="13"/>
      <c r="D102" s="13"/>
      <c r="E102" s="13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3"/>
      <c r="B103" s="13"/>
      <c r="C103" s="13"/>
      <c r="D103" s="13"/>
      <c r="E103" s="13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3"/>
      <c r="B104" s="13"/>
      <c r="C104" s="13"/>
      <c r="D104" s="13"/>
      <c r="E104" s="13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3"/>
      <c r="B105" s="13"/>
      <c r="C105" s="13"/>
      <c r="D105" s="13"/>
      <c r="E105" s="13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3"/>
      <c r="B106" s="13"/>
      <c r="C106" s="13"/>
      <c r="D106" s="13"/>
      <c r="E106" s="13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3"/>
      <c r="B107" s="13"/>
      <c r="C107" s="13"/>
      <c r="D107" s="13"/>
      <c r="E107" s="13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3"/>
      <c r="B108" s="13"/>
      <c r="C108" s="13"/>
      <c r="D108" s="13"/>
      <c r="E108" s="13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3"/>
      <c r="B109" s="13"/>
      <c r="C109" s="13"/>
      <c r="D109" s="13"/>
      <c r="E109" s="13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3"/>
      <c r="B110" s="13"/>
      <c r="C110" s="13"/>
      <c r="D110" s="13"/>
      <c r="E110" s="13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3"/>
      <c r="B111" s="13"/>
      <c r="C111" s="13"/>
      <c r="D111" s="13"/>
      <c r="E111" s="13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3"/>
      <c r="B112" s="13"/>
      <c r="C112" s="13"/>
      <c r="D112" s="13"/>
      <c r="E112" s="13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3"/>
      <c r="B113" s="13"/>
      <c r="C113" s="13"/>
      <c r="D113" s="13"/>
      <c r="E113" s="13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3"/>
      <c r="B114" s="13"/>
      <c r="C114" s="13"/>
      <c r="D114" s="13"/>
      <c r="E114" s="13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3"/>
      <c r="B115" s="13"/>
      <c r="C115" s="13"/>
      <c r="D115" s="13"/>
      <c r="E115" s="13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3"/>
      <c r="B116" s="13"/>
      <c r="C116" s="13"/>
      <c r="D116" s="13"/>
      <c r="E116" s="13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3"/>
      <c r="B117" s="13"/>
      <c r="C117" s="13"/>
      <c r="D117" s="13"/>
      <c r="E117" s="13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3"/>
      <c r="B118" s="13"/>
      <c r="C118" s="13"/>
      <c r="D118" s="13"/>
      <c r="E118" s="13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3"/>
      <c r="B119" s="13"/>
      <c r="C119" s="13"/>
      <c r="D119" s="13"/>
      <c r="E119" s="13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3"/>
      <c r="B120" s="13"/>
      <c r="C120" s="13"/>
      <c r="D120" s="13"/>
      <c r="E120" s="13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3"/>
      <c r="B121" s="13"/>
      <c r="C121" s="13"/>
      <c r="D121" s="13"/>
      <c r="E121" s="13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3"/>
      <c r="B122" s="13"/>
      <c r="C122" s="13"/>
      <c r="D122" s="13"/>
      <c r="E122" s="13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3"/>
      <c r="B123" s="13"/>
      <c r="C123" s="13"/>
      <c r="D123" s="13"/>
      <c r="E123" s="13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3"/>
      <c r="B124" s="13"/>
      <c r="C124" s="13"/>
      <c r="D124" s="13"/>
      <c r="E124" s="13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3"/>
      <c r="B125" s="13"/>
      <c r="C125" s="13"/>
      <c r="D125" s="13"/>
      <c r="E125" s="13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3"/>
      <c r="B126" s="13"/>
      <c r="C126" s="13"/>
      <c r="D126" s="13"/>
      <c r="E126" s="13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3"/>
      <c r="B127" s="13"/>
      <c r="C127" s="13"/>
      <c r="D127" s="13"/>
      <c r="E127" s="13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3"/>
      <c r="B128" s="13"/>
      <c r="C128" s="13"/>
      <c r="D128" s="13"/>
      <c r="E128" s="13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3"/>
      <c r="B129" s="13"/>
      <c r="C129" s="13"/>
      <c r="D129" s="13"/>
      <c r="E129" s="13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3"/>
      <c r="B130" s="13"/>
      <c r="C130" s="13"/>
      <c r="D130" s="13"/>
      <c r="E130" s="13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3"/>
      <c r="B131" s="13"/>
      <c r="C131" s="13"/>
      <c r="D131" s="13"/>
      <c r="E131" s="13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3"/>
      <c r="B132" s="13"/>
      <c r="C132" s="13"/>
      <c r="D132" s="13"/>
      <c r="E132" s="13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3"/>
      <c r="B133" s="13"/>
      <c r="C133" s="13"/>
      <c r="D133" s="13"/>
      <c r="E133" s="13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3"/>
      <c r="B134" s="13"/>
      <c r="C134" s="13"/>
      <c r="D134" s="13"/>
      <c r="E134" s="13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3"/>
      <c r="B135" s="13"/>
      <c r="C135" s="13"/>
      <c r="D135" s="13"/>
      <c r="E135" s="13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3"/>
      <c r="B136" s="13"/>
      <c r="C136" s="13"/>
      <c r="D136" s="13"/>
      <c r="E136" s="13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3"/>
      <c r="B137" s="13"/>
      <c r="C137" s="13"/>
      <c r="D137" s="13"/>
      <c r="E137" s="13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3"/>
      <c r="B138" s="13"/>
      <c r="C138" s="13"/>
      <c r="D138" s="13"/>
      <c r="E138" s="13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3"/>
      <c r="B139" s="13"/>
      <c r="C139" s="13"/>
      <c r="D139" s="13"/>
      <c r="E139" s="13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3"/>
      <c r="B140" s="13"/>
      <c r="C140" s="13"/>
      <c r="D140" s="13"/>
      <c r="E140" s="13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3"/>
      <c r="B141" s="13"/>
      <c r="C141" s="13"/>
      <c r="D141" s="13"/>
      <c r="E141" s="13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3"/>
      <c r="B142" s="13"/>
      <c r="C142" s="13"/>
      <c r="D142" s="13"/>
      <c r="E142" s="13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3"/>
      <c r="B143" s="13"/>
      <c r="C143" s="13"/>
      <c r="D143" s="13"/>
      <c r="E143" s="13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3"/>
      <c r="B144" s="13"/>
      <c r="C144" s="13"/>
      <c r="D144" s="13"/>
      <c r="E144" s="13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3"/>
      <c r="B145" s="13"/>
      <c r="C145" s="13"/>
      <c r="D145" s="13"/>
      <c r="E145" s="13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3"/>
      <c r="B146" s="13"/>
      <c r="C146" s="13"/>
      <c r="D146" s="13"/>
      <c r="E146" s="13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3"/>
      <c r="B147" s="13"/>
      <c r="C147" s="13"/>
      <c r="D147" s="13"/>
      <c r="E147" s="13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3"/>
      <c r="B148" s="13"/>
      <c r="C148" s="13"/>
      <c r="D148" s="13"/>
      <c r="E148" s="13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3"/>
      <c r="B149" s="13"/>
      <c r="C149" s="13"/>
      <c r="D149" s="13"/>
      <c r="E149" s="13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3"/>
      <c r="B150" s="13"/>
      <c r="C150" s="13"/>
      <c r="D150" s="13"/>
      <c r="E150" s="13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3"/>
      <c r="B151" s="13"/>
      <c r="C151" s="13"/>
      <c r="D151" s="13"/>
      <c r="E151" s="13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3"/>
      <c r="B152" s="13"/>
      <c r="C152" s="13"/>
      <c r="D152" s="13"/>
      <c r="E152" s="13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3"/>
      <c r="B153" s="13"/>
      <c r="C153" s="13"/>
      <c r="D153" s="13"/>
      <c r="E153" s="13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3"/>
      <c r="B154" s="13"/>
      <c r="C154" s="13"/>
      <c r="D154" s="13"/>
      <c r="E154" s="13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3"/>
      <c r="B155" s="13"/>
      <c r="C155" s="13"/>
      <c r="D155" s="13"/>
      <c r="E155" s="13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3"/>
      <c r="B156" s="13"/>
      <c r="C156" s="13"/>
      <c r="D156" s="13"/>
      <c r="E156" s="13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3"/>
      <c r="B157" s="13"/>
      <c r="C157" s="13"/>
      <c r="D157" s="13"/>
      <c r="E157" s="13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3"/>
      <c r="B158" s="13"/>
      <c r="C158" s="13"/>
      <c r="D158" s="13"/>
      <c r="E158" s="13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3"/>
      <c r="B159" s="13"/>
      <c r="C159" s="13"/>
      <c r="D159" s="13"/>
      <c r="E159" s="13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3"/>
      <c r="B160" s="13"/>
      <c r="C160" s="13"/>
      <c r="D160" s="13"/>
      <c r="E160" s="13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3"/>
      <c r="B161" s="13"/>
      <c r="C161" s="13"/>
      <c r="D161" s="13"/>
      <c r="E161" s="13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3"/>
      <c r="B162" s="13"/>
      <c r="C162" s="13"/>
      <c r="D162" s="13"/>
      <c r="E162" s="13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3"/>
      <c r="B163" s="13"/>
      <c r="C163" s="13"/>
      <c r="D163" s="13"/>
      <c r="E163" s="13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3"/>
      <c r="B164" s="13"/>
      <c r="C164" s="13"/>
      <c r="D164" s="13"/>
      <c r="E164" s="13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3"/>
      <c r="B165" s="13"/>
      <c r="C165" s="13"/>
      <c r="D165" s="13"/>
      <c r="E165" s="13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3"/>
      <c r="B166" s="13"/>
      <c r="C166" s="13"/>
      <c r="D166" s="13"/>
      <c r="E166" s="13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3"/>
      <c r="B167" s="13"/>
      <c r="C167" s="13"/>
      <c r="D167" s="13"/>
      <c r="E167" s="13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3"/>
      <c r="B168" s="13"/>
      <c r="C168" s="13"/>
      <c r="D168" s="13"/>
      <c r="E168" s="13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3"/>
      <c r="B169" s="13"/>
      <c r="C169" s="13"/>
      <c r="D169" s="13"/>
      <c r="E169" s="13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3"/>
      <c r="B170" s="13"/>
      <c r="C170" s="13"/>
      <c r="D170" s="13"/>
      <c r="E170" s="13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3"/>
      <c r="B171" s="13"/>
      <c r="C171" s="13"/>
      <c r="D171" s="13"/>
      <c r="E171" s="13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3"/>
      <c r="B172" s="13"/>
      <c r="C172" s="13"/>
      <c r="D172" s="13"/>
      <c r="E172" s="13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3"/>
      <c r="B173" s="13"/>
      <c r="C173" s="13"/>
      <c r="D173" s="13"/>
      <c r="E173" s="13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3"/>
      <c r="B174" s="13"/>
      <c r="C174" s="13"/>
      <c r="D174" s="13"/>
      <c r="E174" s="13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3"/>
      <c r="B175" s="13"/>
      <c r="C175" s="13"/>
      <c r="D175" s="13"/>
      <c r="E175" s="13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3"/>
      <c r="B176" s="13"/>
      <c r="C176" s="13"/>
      <c r="D176" s="13"/>
      <c r="E176" s="13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3"/>
      <c r="B177" s="13"/>
      <c r="C177" s="13"/>
      <c r="D177" s="13"/>
      <c r="E177" s="13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3"/>
      <c r="B178" s="13"/>
      <c r="C178" s="13"/>
      <c r="D178" s="13"/>
      <c r="E178" s="13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3"/>
      <c r="B179" s="13"/>
      <c r="C179" s="13"/>
      <c r="D179" s="13"/>
      <c r="E179" s="13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3"/>
      <c r="B180" s="13"/>
      <c r="C180" s="13"/>
      <c r="D180" s="13"/>
      <c r="E180" s="13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3"/>
      <c r="B181" s="13"/>
      <c r="C181" s="13"/>
      <c r="D181" s="13"/>
      <c r="E181" s="13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3"/>
      <c r="B182" s="13"/>
      <c r="C182" s="13"/>
      <c r="D182" s="13"/>
      <c r="E182" s="13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3"/>
      <c r="B183" s="13"/>
      <c r="C183" s="13"/>
      <c r="D183" s="13"/>
      <c r="E183" s="13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3"/>
      <c r="B184" s="13"/>
      <c r="C184" s="13"/>
      <c r="D184" s="13"/>
      <c r="E184" s="13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3"/>
      <c r="B185" s="13"/>
      <c r="C185" s="13"/>
      <c r="D185" s="13"/>
      <c r="E185" s="13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3"/>
      <c r="B186" s="13"/>
      <c r="C186" s="13"/>
      <c r="D186" s="13"/>
      <c r="E186" s="13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3"/>
      <c r="B187" s="13"/>
      <c r="C187" s="13"/>
      <c r="D187" s="13"/>
      <c r="E187" s="13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3"/>
      <c r="B188" s="13"/>
      <c r="C188" s="13"/>
      <c r="D188" s="13"/>
      <c r="E188" s="13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3"/>
      <c r="B189" s="13"/>
      <c r="C189" s="13"/>
      <c r="D189" s="13"/>
      <c r="E189" s="13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3"/>
      <c r="B190" s="13"/>
      <c r="C190" s="13"/>
      <c r="D190" s="13"/>
      <c r="E190" s="13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3"/>
      <c r="B191" s="13"/>
      <c r="C191" s="13"/>
      <c r="D191" s="13"/>
      <c r="E191" s="13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3"/>
      <c r="B192" s="13"/>
      <c r="C192" s="13"/>
      <c r="D192" s="13"/>
      <c r="E192" s="13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3"/>
      <c r="B193" s="13"/>
      <c r="C193" s="13"/>
      <c r="D193" s="13"/>
      <c r="E193" s="13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3"/>
      <c r="B194" s="13"/>
      <c r="C194" s="13"/>
      <c r="D194" s="13"/>
      <c r="E194" s="13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3"/>
      <c r="B195" s="13"/>
      <c r="C195" s="13"/>
      <c r="D195" s="13"/>
      <c r="E195" s="13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3"/>
      <c r="B196" s="13"/>
      <c r="C196" s="13"/>
      <c r="D196" s="13"/>
      <c r="E196" s="13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3"/>
      <c r="B197" s="13"/>
      <c r="C197" s="13"/>
      <c r="D197" s="13"/>
      <c r="E197" s="13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3"/>
      <c r="B198" s="13"/>
      <c r="C198" s="13"/>
      <c r="D198" s="13"/>
      <c r="E198" s="13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3"/>
      <c r="B199" s="13"/>
      <c r="C199" s="13"/>
      <c r="D199" s="13"/>
      <c r="E199" s="13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3"/>
      <c r="B200" s="13"/>
      <c r="C200" s="13"/>
      <c r="D200" s="13"/>
      <c r="E200" s="13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3"/>
      <c r="B201" s="13"/>
      <c r="C201" s="13"/>
      <c r="D201" s="13"/>
      <c r="E201" s="13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3"/>
      <c r="B202" s="13"/>
      <c r="C202" s="13"/>
      <c r="D202" s="13"/>
      <c r="E202" s="13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3"/>
      <c r="B203" s="13"/>
      <c r="C203" s="13"/>
      <c r="D203" s="13"/>
      <c r="E203" s="13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3"/>
      <c r="B204" s="13"/>
      <c r="C204" s="13"/>
      <c r="D204" s="13"/>
      <c r="E204" s="13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3"/>
      <c r="B205" s="13"/>
      <c r="C205" s="13"/>
      <c r="D205" s="13"/>
      <c r="E205" s="13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3"/>
      <c r="B206" s="13"/>
      <c r="C206" s="13"/>
      <c r="D206" s="13"/>
      <c r="E206" s="13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3"/>
      <c r="B207" s="13"/>
      <c r="C207" s="13"/>
      <c r="D207" s="13"/>
      <c r="E207" s="13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3"/>
      <c r="B208" s="13"/>
      <c r="C208" s="13"/>
      <c r="D208" s="13"/>
      <c r="E208" s="13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3"/>
      <c r="B209" s="13"/>
      <c r="C209" s="13"/>
      <c r="D209" s="13"/>
      <c r="E209" s="13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3"/>
      <c r="B210" s="13"/>
      <c r="C210" s="13"/>
      <c r="D210" s="13"/>
      <c r="E210" s="13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3"/>
      <c r="B211" s="13"/>
      <c r="C211" s="13"/>
      <c r="D211" s="13"/>
      <c r="E211" s="13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3"/>
      <c r="B212" s="13"/>
      <c r="C212" s="13"/>
      <c r="D212" s="13"/>
      <c r="E212" s="13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3"/>
      <c r="B213" s="13"/>
      <c r="C213" s="13"/>
      <c r="D213" s="13"/>
      <c r="E213" s="13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3"/>
      <c r="B214" s="13"/>
      <c r="C214" s="13"/>
      <c r="D214" s="13"/>
      <c r="E214" s="13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3"/>
      <c r="B215" s="13"/>
      <c r="C215" s="13"/>
      <c r="D215" s="13"/>
      <c r="E215" s="13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3"/>
      <c r="B216" s="13"/>
      <c r="C216" s="13"/>
      <c r="D216" s="13"/>
      <c r="E216" s="13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3"/>
      <c r="B217" s="13"/>
      <c r="C217" s="13"/>
      <c r="D217" s="13"/>
      <c r="E217" s="13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3"/>
      <c r="B218" s="13"/>
      <c r="C218" s="13"/>
      <c r="D218" s="13"/>
      <c r="E218" s="13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3"/>
      <c r="B219" s="13"/>
      <c r="C219" s="13"/>
      <c r="D219" s="13"/>
      <c r="E219" s="13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3"/>
      <c r="B220" s="13"/>
      <c r="C220" s="13"/>
      <c r="D220" s="13"/>
      <c r="E220" s="13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3"/>
      <c r="B221" s="13"/>
      <c r="C221" s="13"/>
      <c r="D221" s="13"/>
      <c r="E221" s="13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3"/>
      <c r="B222" s="13"/>
      <c r="C222" s="13"/>
      <c r="D222" s="13"/>
      <c r="E222" s="13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3"/>
      <c r="B223" s="13"/>
      <c r="C223" s="13"/>
      <c r="D223" s="13"/>
      <c r="E223" s="13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3"/>
      <c r="B224" s="13"/>
      <c r="C224" s="13"/>
      <c r="D224" s="13"/>
      <c r="E224" s="13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3"/>
      <c r="B225" s="13"/>
      <c r="C225" s="13"/>
      <c r="D225" s="13"/>
      <c r="E225" s="13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3"/>
      <c r="B226" s="13"/>
      <c r="C226" s="13"/>
      <c r="D226" s="13"/>
      <c r="E226" s="13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3"/>
      <c r="B227" s="13"/>
      <c r="C227" s="13"/>
      <c r="D227" s="13"/>
      <c r="E227" s="13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3"/>
      <c r="B228" s="13"/>
      <c r="C228" s="13"/>
      <c r="D228" s="13"/>
      <c r="E228" s="13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3"/>
      <c r="B229" s="13"/>
      <c r="C229" s="13"/>
      <c r="D229" s="13"/>
      <c r="E229" s="13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3"/>
      <c r="B230" s="13"/>
      <c r="C230" s="13"/>
      <c r="D230" s="13"/>
      <c r="E230" s="13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3"/>
      <c r="B231" s="13"/>
      <c r="C231" s="13"/>
      <c r="D231" s="13"/>
      <c r="E231" s="13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3"/>
      <c r="B232" s="13"/>
      <c r="C232" s="13"/>
      <c r="D232" s="13"/>
      <c r="E232" s="13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3"/>
      <c r="B233" s="13"/>
      <c r="C233" s="13"/>
      <c r="D233" s="13"/>
      <c r="E233" s="13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3"/>
      <c r="B234" s="13"/>
      <c r="C234" s="13"/>
      <c r="D234" s="13"/>
      <c r="E234" s="13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3"/>
      <c r="B235" s="13"/>
      <c r="C235" s="13"/>
      <c r="D235" s="13"/>
      <c r="E235" s="13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3"/>
      <c r="B236" s="13"/>
      <c r="C236" s="13"/>
      <c r="D236" s="13"/>
      <c r="E236" s="13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3"/>
      <c r="B237" s="13"/>
      <c r="C237" s="13"/>
      <c r="D237" s="13"/>
      <c r="E237" s="13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3"/>
      <c r="B238" s="13"/>
      <c r="C238" s="13"/>
      <c r="D238" s="13"/>
      <c r="E238" s="13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3"/>
      <c r="B239" s="13"/>
      <c r="C239" s="13"/>
      <c r="D239" s="13"/>
      <c r="E239" s="13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3"/>
      <c r="B240" s="13"/>
      <c r="C240" s="13"/>
      <c r="D240" s="13"/>
      <c r="E240" s="13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3"/>
      <c r="B241" s="13"/>
      <c r="C241" s="13"/>
      <c r="D241" s="13"/>
      <c r="E241" s="13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3"/>
      <c r="B242" s="13"/>
      <c r="C242" s="13"/>
      <c r="D242" s="13"/>
      <c r="E242" s="13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3"/>
      <c r="B243" s="13"/>
      <c r="C243" s="13"/>
      <c r="D243" s="13"/>
      <c r="E243" s="13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3"/>
      <c r="B244" s="13"/>
      <c r="C244" s="13"/>
      <c r="D244" s="13"/>
      <c r="E244" s="13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3"/>
      <c r="B245" s="13"/>
      <c r="C245" s="13"/>
      <c r="D245" s="13"/>
      <c r="E245" s="13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3"/>
      <c r="B246" s="13"/>
      <c r="C246" s="13"/>
      <c r="D246" s="13"/>
      <c r="E246" s="13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3"/>
      <c r="B247" s="13"/>
      <c r="C247" s="13"/>
      <c r="D247" s="13"/>
      <c r="E247" s="13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3"/>
      <c r="B248" s="13"/>
      <c r="C248" s="13"/>
      <c r="D248" s="13"/>
      <c r="E248" s="13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3"/>
      <c r="B249" s="13"/>
      <c r="C249" s="13"/>
      <c r="D249" s="13"/>
      <c r="E249" s="13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3"/>
      <c r="B250" s="13"/>
      <c r="C250" s="13"/>
      <c r="D250" s="13"/>
      <c r="E250" s="13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3"/>
      <c r="B251" s="13"/>
      <c r="C251" s="13"/>
      <c r="D251" s="13"/>
      <c r="E251" s="13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3"/>
      <c r="B252" s="13"/>
      <c r="C252" s="13"/>
      <c r="D252" s="13"/>
      <c r="E252" s="13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3"/>
      <c r="B253" s="13"/>
      <c r="C253" s="13"/>
      <c r="D253" s="13"/>
      <c r="E253" s="13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3"/>
      <c r="B254" s="13"/>
      <c r="C254" s="13"/>
      <c r="D254" s="13"/>
      <c r="E254" s="13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3"/>
      <c r="B255" s="13"/>
      <c r="C255" s="13"/>
      <c r="D255" s="13"/>
      <c r="E255" s="13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3"/>
      <c r="B256" s="13"/>
      <c r="C256" s="13"/>
      <c r="D256" s="13"/>
      <c r="E256" s="13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3"/>
      <c r="B257" s="13"/>
      <c r="C257" s="13"/>
      <c r="D257" s="13"/>
      <c r="E257" s="13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3"/>
      <c r="B258" s="13"/>
      <c r="C258" s="13"/>
      <c r="D258" s="13"/>
      <c r="E258" s="13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3"/>
      <c r="B259" s="13"/>
      <c r="C259" s="13"/>
      <c r="D259" s="13"/>
      <c r="E259" s="13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3"/>
      <c r="B260" s="13"/>
      <c r="C260" s="13"/>
      <c r="D260" s="13"/>
      <c r="E260" s="13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3"/>
      <c r="B261" s="13"/>
      <c r="C261" s="13"/>
      <c r="D261" s="13"/>
      <c r="E261" s="13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3"/>
      <c r="B262" s="13"/>
      <c r="C262" s="13"/>
      <c r="D262" s="13"/>
      <c r="E262" s="13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3"/>
      <c r="B263" s="13"/>
      <c r="C263" s="13"/>
      <c r="D263" s="13"/>
      <c r="E263" s="13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3"/>
      <c r="B264" s="13"/>
      <c r="C264" s="13"/>
      <c r="D264" s="13"/>
      <c r="E264" s="13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3"/>
      <c r="B265" s="13"/>
      <c r="C265" s="13"/>
      <c r="D265" s="13"/>
      <c r="E265" s="13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3"/>
      <c r="B266" s="13"/>
      <c r="C266" s="13"/>
      <c r="D266" s="13"/>
      <c r="E266" s="13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3"/>
      <c r="B267" s="13"/>
      <c r="C267" s="13"/>
      <c r="D267" s="13"/>
      <c r="E267" s="13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3"/>
      <c r="B268" s="13"/>
      <c r="C268" s="13"/>
      <c r="D268" s="13"/>
      <c r="E268" s="13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3"/>
      <c r="B269" s="13"/>
      <c r="C269" s="13"/>
      <c r="D269" s="13"/>
      <c r="E269" s="13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3"/>
      <c r="B270" s="13"/>
      <c r="C270" s="13"/>
      <c r="D270" s="13"/>
      <c r="E270" s="13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3"/>
      <c r="B271" s="13"/>
      <c r="C271" s="13"/>
      <c r="D271" s="13"/>
      <c r="E271" s="13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3"/>
      <c r="B272" s="13"/>
      <c r="C272" s="13"/>
      <c r="D272" s="13"/>
      <c r="E272" s="13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3"/>
      <c r="B273" s="13"/>
      <c r="C273" s="13"/>
      <c r="D273" s="13"/>
      <c r="E273" s="13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3"/>
      <c r="B274" s="13"/>
      <c r="C274" s="13"/>
      <c r="D274" s="13"/>
      <c r="E274" s="13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3"/>
      <c r="B275" s="13"/>
      <c r="C275" s="13"/>
      <c r="D275" s="13"/>
      <c r="E275" s="13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3"/>
      <c r="B276" s="13"/>
      <c r="C276" s="13"/>
      <c r="D276" s="13"/>
      <c r="E276" s="13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3"/>
      <c r="B277" s="13"/>
      <c r="C277" s="13"/>
      <c r="D277" s="13"/>
      <c r="E277" s="13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3"/>
      <c r="B278" s="13"/>
      <c r="C278" s="13"/>
      <c r="D278" s="13"/>
      <c r="E278" s="13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3"/>
      <c r="B279" s="13"/>
      <c r="C279" s="13"/>
      <c r="D279" s="13"/>
      <c r="E279" s="13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3"/>
      <c r="B280" s="13"/>
      <c r="C280" s="13"/>
      <c r="D280" s="13"/>
      <c r="E280" s="13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3"/>
      <c r="B281" s="13"/>
      <c r="C281" s="13"/>
      <c r="D281" s="13"/>
      <c r="E281" s="13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3"/>
      <c r="B282" s="13"/>
      <c r="C282" s="13"/>
      <c r="D282" s="13"/>
      <c r="E282" s="13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3"/>
      <c r="B283" s="13"/>
      <c r="C283" s="13"/>
      <c r="D283" s="13"/>
      <c r="E283" s="13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3"/>
      <c r="B284" s="13"/>
      <c r="C284" s="13"/>
      <c r="D284" s="13"/>
      <c r="E284" s="13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3"/>
      <c r="B285" s="13"/>
      <c r="C285" s="13"/>
      <c r="D285" s="13"/>
      <c r="E285" s="13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3"/>
      <c r="B286" s="13"/>
      <c r="C286" s="13"/>
      <c r="D286" s="13"/>
      <c r="E286" s="13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3"/>
      <c r="B287" s="13"/>
      <c r="C287" s="13"/>
      <c r="D287" s="13"/>
      <c r="E287" s="13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3"/>
      <c r="B288" s="13"/>
      <c r="C288" s="13"/>
      <c r="D288" s="13"/>
      <c r="E288" s="13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3"/>
      <c r="B289" s="13"/>
      <c r="C289" s="13"/>
      <c r="D289" s="13"/>
      <c r="E289" s="13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3"/>
      <c r="B290" s="13"/>
      <c r="C290" s="13"/>
      <c r="D290" s="13"/>
      <c r="E290" s="13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3"/>
      <c r="B291" s="13"/>
      <c r="C291" s="13"/>
      <c r="D291" s="13"/>
      <c r="E291" s="13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3"/>
      <c r="B292" s="13"/>
      <c r="C292" s="13"/>
      <c r="D292" s="13"/>
      <c r="E292" s="13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3"/>
      <c r="B293" s="13"/>
      <c r="C293" s="13"/>
      <c r="D293" s="13"/>
      <c r="E293" s="13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3"/>
      <c r="B294" s="13"/>
      <c r="C294" s="13"/>
      <c r="D294" s="13"/>
      <c r="E294" s="13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3"/>
      <c r="B295" s="13"/>
      <c r="C295" s="13"/>
      <c r="D295" s="13"/>
      <c r="E295" s="13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3"/>
      <c r="B296" s="13"/>
      <c r="C296" s="13"/>
      <c r="D296" s="13"/>
      <c r="E296" s="13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3"/>
      <c r="B297" s="13"/>
      <c r="C297" s="13"/>
      <c r="D297" s="13"/>
      <c r="E297" s="13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3"/>
      <c r="B298" s="13"/>
      <c r="C298" s="13"/>
      <c r="D298" s="13"/>
      <c r="E298" s="13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3"/>
      <c r="B299" s="13"/>
      <c r="C299" s="13"/>
      <c r="D299" s="13"/>
      <c r="E299" s="13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3"/>
      <c r="B300" s="13"/>
      <c r="C300" s="13"/>
      <c r="D300" s="13"/>
      <c r="E300" s="13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3"/>
      <c r="B301" s="13"/>
      <c r="C301" s="13"/>
      <c r="D301" s="13"/>
      <c r="E301" s="13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3"/>
      <c r="B302" s="13"/>
      <c r="C302" s="13"/>
      <c r="D302" s="13"/>
      <c r="E302" s="13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3"/>
      <c r="B303" s="13"/>
      <c r="C303" s="13"/>
      <c r="D303" s="13"/>
      <c r="E303" s="13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3"/>
      <c r="B304" s="13"/>
      <c r="C304" s="13"/>
      <c r="D304" s="13"/>
      <c r="E304" s="13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3"/>
      <c r="B305" s="13"/>
      <c r="C305" s="13"/>
      <c r="D305" s="13"/>
      <c r="E305" s="13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3"/>
      <c r="B306" s="13"/>
      <c r="C306" s="13"/>
      <c r="D306" s="13"/>
      <c r="E306" s="13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3"/>
      <c r="B307" s="13"/>
      <c r="C307" s="13"/>
      <c r="D307" s="13"/>
      <c r="E307" s="13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3"/>
      <c r="B308" s="13"/>
      <c r="C308" s="13"/>
      <c r="D308" s="13"/>
      <c r="E308" s="13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3"/>
      <c r="B309" s="13"/>
      <c r="C309" s="13"/>
      <c r="D309" s="13"/>
      <c r="E309" s="13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3"/>
      <c r="B310" s="13"/>
      <c r="C310" s="13"/>
      <c r="D310" s="13"/>
      <c r="E310" s="13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3"/>
      <c r="B311" s="13"/>
      <c r="C311" s="13"/>
      <c r="D311" s="13"/>
      <c r="E311" s="13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3"/>
      <c r="B312" s="13"/>
      <c r="C312" s="13"/>
      <c r="D312" s="13"/>
      <c r="E312" s="13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3"/>
      <c r="B313" s="13"/>
      <c r="C313" s="13"/>
      <c r="D313" s="13"/>
      <c r="E313" s="13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3"/>
      <c r="B314" s="13"/>
      <c r="C314" s="13"/>
      <c r="D314" s="13"/>
      <c r="E314" s="13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3"/>
      <c r="B315" s="13"/>
      <c r="C315" s="13"/>
      <c r="D315" s="13"/>
      <c r="E315" s="13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3"/>
      <c r="B316" s="13"/>
      <c r="C316" s="13"/>
      <c r="D316" s="13"/>
      <c r="E316" s="13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3"/>
      <c r="B317" s="13"/>
      <c r="C317" s="13"/>
      <c r="D317" s="13"/>
      <c r="E317" s="13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3"/>
      <c r="B318" s="13"/>
      <c r="C318" s="13"/>
      <c r="D318" s="13"/>
      <c r="E318" s="13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3"/>
      <c r="B319" s="13"/>
      <c r="C319" s="13"/>
      <c r="D319" s="13"/>
      <c r="E319" s="13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3"/>
      <c r="B320" s="13"/>
      <c r="C320" s="13"/>
      <c r="D320" s="13"/>
      <c r="E320" s="13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3"/>
      <c r="B321" s="13"/>
      <c r="C321" s="13"/>
      <c r="D321" s="13"/>
      <c r="E321" s="13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3"/>
      <c r="B322" s="13"/>
      <c r="C322" s="13"/>
      <c r="D322" s="13"/>
      <c r="E322" s="13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3"/>
      <c r="B323" s="13"/>
      <c r="C323" s="13"/>
      <c r="D323" s="13"/>
      <c r="E323" s="13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3"/>
      <c r="B324" s="13"/>
      <c r="C324" s="13"/>
      <c r="D324" s="13"/>
      <c r="E324" s="13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3"/>
      <c r="B325" s="13"/>
      <c r="C325" s="13"/>
      <c r="D325" s="13"/>
      <c r="E325" s="13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3"/>
      <c r="B326" s="13"/>
      <c r="C326" s="13"/>
      <c r="D326" s="13"/>
      <c r="E326" s="13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3"/>
      <c r="B327" s="13"/>
      <c r="C327" s="13"/>
      <c r="D327" s="13"/>
      <c r="E327" s="13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3"/>
      <c r="B328" s="13"/>
      <c r="C328" s="13"/>
      <c r="D328" s="13"/>
      <c r="E328" s="13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3"/>
      <c r="B329" s="13"/>
      <c r="C329" s="13"/>
      <c r="D329" s="13"/>
      <c r="E329" s="13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3"/>
      <c r="B330" s="13"/>
      <c r="C330" s="13"/>
      <c r="D330" s="13"/>
      <c r="E330" s="13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3"/>
      <c r="B331" s="13"/>
      <c r="C331" s="13"/>
      <c r="D331" s="13"/>
      <c r="E331" s="13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3"/>
      <c r="B332" s="13"/>
      <c r="C332" s="13"/>
      <c r="D332" s="13"/>
      <c r="E332" s="13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3"/>
      <c r="B333" s="13"/>
      <c r="C333" s="13"/>
      <c r="D333" s="13"/>
      <c r="E333" s="13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3"/>
      <c r="B334" s="13"/>
      <c r="C334" s="13"/>
      <c r="D334" s="13"/>
      <c r="E334" s="13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3"/>
      <c r="B335" s="13"/>
      <c r="C335" s="13"/>
      <c r="D335" s="13"/>
      <c r="E335" s="13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3"/>
      <c r="B336" s="13"/>
      <c r="C336" s="13"/>
      <c r="D336" s="13"/>
      <c r="E336" s="13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3"/>
      <c r="B337" s="13"/>
      <c r="C337" s="13"/>
      <c r="D337" s="13"/>
      <c r="E337" s="13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3"/>
      <c r="B338" s="13"/>
      <c r="C338" s="13"/>
      <c r="D338" s="13"/>
      <c r="E338" s="13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3"/>
      <c r="B339" s="13"/>
      <c r="C339" s="13"/>
      <c r="D339" s="13"/>
      <c r="E339" s="13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3"/>
      <c r="B340" s="13"/>
      <c r="C340" s="13"/>
      <c r="D340" s="13"/>
      <c r="E340" s="13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3"/>
      <c r="B341" s="13"/>
      <c r="C341" s="13"/>
      <c r="D341" s="13"/>
      <c r="E341" s="13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3"/>
      <c r="B342" s="13"/>
      <c r="C342" s="13"/>
      <c r="D342" s="13"/>
      <c r="E342" s="13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3"/>
      <c r="B343" s="13"/>
      <c r="C343" s="13"/>
      <c r="D343" s="13"/>
      <c r="E343" s="13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3"/>
      <c r="B344" s="13"/>
      <c r="C344" s="13"/>
      <c r="D344" s="13"/>
      <c r="E344" s="13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3"/>
      <c r="B345" s="13"/>
      <c r="C345" s="13"/>
      <c r="D345" s="13"/>
      <c r="E345" s="13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3"/>
      <c r="B346" s="13"/>
      <c r="C346" s="13"/>
      <c r="D346" s="13"/>
      <c r="E346" s="13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3"/>
      <c r="B347" s="13"/>
      <c r="C347" s="13"/>
      <c r="D347" s="13"/>
      <c r="E347" s="13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3"/>
      <c r="B348" s="13"/>
      <c r="C348" s="13"/>
      <c r="D348" s="13"/>
      <c r="E348" s="13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3"/>
      <c r="B349" s="13"/>
      <c r="C349" s="13"/>
      <c r="D349" s="13"/>
      <c r="E349" s="13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3"/>
      <c r="B350" s="13"/>
      <c r="C350" s="13"/>
      <c r="D350" s="13"/>
      <c r="E350" s="13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3"/>
      <c r="B351" s="13"/>
      <c r="C351" s="13"/>
      <c r="D351" s="13"/>
      <c r="E351" s="13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3"/>
      <c r="B352" s="13"/>
      <c r="C352" s="13"/>
      <c r="D352" s="13"/>
      <c r="E352" s="13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3"/>
      <c r="B353" s="13"/>
      <c r="C353" s="13"/>
      <c r="D353" s="13"/>
      <c r="E353" s="13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3"/>
      <c r="B354" s="13"/>
      <c r="C354" s="13"/>
      <c r="D354" s="13"/>
      <c r="E354" s="13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3"/>
      <c r="B355" s="13"/>
      <c r="C355" s="13"/>
      <c r="D355" s="13"/>
      <c r="E355" s="13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3"/>
      <c r="B356" s="13"/>
      <c r="C356" s="13"/>
      <c r="D356" s="13"/>
      <c r="E356" s="13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3"/>
      <c r="B357" s="13"/>
      <c r="C357" s="13"/>
      <c r="D357" s="13"/>
      <c r="E357" s="13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3"/>
      <c r="B358" s="13"/>
      <c r="C358" s="13"/>
      <c r="D358" s="13"/>
      <c r="E358" s="13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3"/>
      <c r="B359" s="13"/>
      <c r="C359" s="13"/>
      <c r="D359" s="13"/>
      <c r="E359" s="13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3"/>
      <c r="B360" s="13"/>
      <c r="C360" s="13"/>
      <c r="D360" s="13"/>
      <c r="E360" s="13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3"/>
      <c r="B361" s="13"/>
      <c r="C361" s="13"/>
      <c r="D361" s="13"/>
      <c r="E361" s="13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3"/>
      <c r="B362" s="13"/>
      <c r="C362" s="13"/>
      <c r="D362" s="13"/>
      <c r="E362" s="13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3"/>
      <c r="B363" s="13"/>
      <c r="C363" s="13"/>
      <c r="D363" s="13"/>
      <c r="E363" s="13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3"/>
      <c r="B364" s="13"/>
      <c r="C364" s="13"/>
      <c r="D364" s="13"/>
      <c r="E364" s="13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3"/>
      <c r="B365" s="13"/>
      <c r="C365" s="13"/>
      <c r="D365" s="13"/>
      <c r="E365" s="13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3"/>
      <c r="B366" s="13"/>
      <c r="C366" s="13"/>
      <c r="D366" s="13"/>
      <c r="E366" s="13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3"/>
      <c r="B367" s="13"/>
      <c r="C367" s="13"/>
      <c r="D367" s="13"/>
      <c r="E367" s="13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3"/>
      <c r="B368" s="13"/>
      <c r="C368" s="13"/>
      <c r="D368" s="13"/>
      <c r="E368" s="13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3"/>
      <c r="B369" s="13"/>
      <c r="C369" s="13"/>
      <c r="D369" s="13"/>
      <c r="E369" s="13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3"/>
      <c r="B370" s="13"/>
      <c r="C370" s="13"/>
      <c r="D370" s="13"/>
      <c r="E370" s="13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3"/>
      <c r="B371" s="13"/>
      <c r="C371" s="13"/>
      <c r="D371" s="13"/>
      <c r="E371" s="13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3"/>
      <c r="B372" s="13"/>
      <c r="C372" s="13"/>
      <c r="D372" s="13"/>
      <c r="E372" s="13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3"/>
      <c r="B373" s="13"/>
      <c r="C373" s="13"/>
      <c r="D373" s="13"/>
      <c r="E373" s="13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3"/>
      <c r="B374" s="13"/>
      <c r="C374" s="13"/>
      <c r="D374" s="13"/>
      <c r="E374" s="13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3"/>
      <c r="B375" s="13"/>
      <c r="C375" s="13"/>
      <c r="D375" s="13"/>
      <c r="E375" s="13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3"/>
      <c r="B376" s="13"/>
      <c r="C376" s="13"/>
      <c r="D376" s="13"/>
      <c r="E376" s="13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3"/>
      <c r="B377" s="13"/>
      <c r="C377" s="13"/>
      <c r="D377" s="13"/>
      <c r="E377" s="13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3"/>
      <c r="B378" s="13"/>
      <c r="C378" s="13"/>
      <c r="D378" s="13"/>
      <c r="E378" s="13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3"/>
      <c r="B379" s="13"/>
      <c r="C379" s="13"/>
      <c r="D379" s="13"/>
      <c r="E379" s="13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3"/>
      <c r="B380" s="13"/>
      <c r="C380" s="13"/>
      <c r="D380" s="13"/>
      <c r="E380" s="13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3"/>
      <c r="B381" s="13"/>
      <c r="C381" s="13"/>
      <c r="D381" s="13"/>
      <c r="E381" s="13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3"/>
      <c r="B382" s="13"/>
      <c r="C382" s="13"/>
      <c r="D382" s="13"/>
      <c r="E382" s="13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3"/>
      <c r="B383" s="13"/>
      <c r="C383" s="13"/>
      <c r="D383" s="13"/>
      <c r="E383" s="13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3"/>
      <c r="B384" s="13"/>
      <c r="C384" s="13"/>
      <c r="D384" s="13"/>
      <c r="E384" s="13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3"/>
      <c r="B385" s="13"/>
      <c r="C385" s="13"/>
      <c r="D385" s="13"/>
      <c r="E385" s="13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3"/>
      <c r="B386" s="13"/>
      <c r="C386" s="13"/>
      <c r="D386" s="13"/>
      <c r="E386" s="13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3"/>
      <c r="B387" s="13"/>
      <c r="C387" s="13"/>
      <c r="D387" s="13"/>
      <c r="E387" s="13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3"/>
      <c r="B388" s="13"/>
      <c r="C388" s="13"/>
      <c r="D388" s="13"/>
      <c r="E388" s="13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3"/>
      <c r="B389" s="13"/>
      <c r="C389" s="13"/>
      <c r="D389" s="13"/>
      <c r="E389" s="13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3"/>
      <c r="B390" s="13"/>
      <c r="C390" s="13"/>
      <c r="D390" s="13"/>
      <c r="E390" s="13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3"/>
      <c r="B391" s="13"/>
      <c r="C391" s="13"/>
      <c r="D391" s="13"/>
      <c r="E391" s="13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3"/>
      <c r="B392" s="13"/>
      <c r="C392" s="13"/>
      <c r="D392" s="13"/>
      <c r="E392" s="13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3"/>
      <c r="B393" s="13"/>
      <c r="C393" s="13"/>
      <c r="D393" s="13"/>
      <c r="E393" s="13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3"/>
      <c r="B394" s="13"/>
      <c r="C394" s="13"/>
      <c r="D394" s="13"/>
      <c r="E394" s="13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3"/>
      <c r="B395" s="13"/>
      <c r="C395" s="13"/>
      <c r="D395" s="13"/>
      <c r="E395" s="13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3"/>
      <c r="B396" s="13"/>
      <c r="C396" s="13"/>
      <c r="D396" s="13"/>
      <c r="E396" s="13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3"/>
      <c r="B397" s="13"/>
      <c r="C397" s="13"/>
      <c r="D397" s="13"/>
      <c r="E397" s="13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3"/>
      <c r="B398" s="13"/>
      <c r="C398" s="13"/>
      <c r="D398" s="13"/>
      <c r="E398" s="13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3"/>
      <c r="B399" s="13"/>
      <c r="C399" s="13"/>
      <c r="D399" s="13"/>
      <c r="E399" s="13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3"/>
      <c r="B400" s="13"/>
      <c r="C400" s="13"/>
      <c r="D400" s="13"/>
      <c r="E400" s="13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3"/>
      <c r="B401" s="13"/>
      <c r="C401" s="13"/>
      <c r="D401" s="13"/>
      <c r="E401" s="13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3"/>
      <c r="B402" s="13"/>
      <c r="C402" s="13"/>
      <c r="D402" s="13"/>
      <c r="E402" s="13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3"/>
      <c r="B403" s="13"/>
      <c r="C403" s="13"/>
      <c r="D403" s="13"/>
      <c r="E403" s="13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3"/>
      <c r="B404" s="13"/>
      <c r="C404" s="13"/>
      <c r="D404" s="13"/>
      <c r="E404" s="13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3"/>
      <c r="B405" s="13"/>
      <c r="C405" s="13"/>
      <c r="D405" s="13"/>
      <c r="E405" s="13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3"/>
      <c r="B406" s="13"/>
      <c r="C406" s="13"/>
      <c r="D406" s="13"/>
      <c r="E406" s="13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3"/>
      <c r="B407" s="13"/>
      <c r="C407" s="13"/>
      <c r="D407" s="13"/>
      <c r="E407" s="13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3"/>
      <c r="B408" s="13"/>
      <c r="C408" s="13"/>
      <c r="D408" s="13"/>
      <c r="E408" s="13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3"/>
      <c r="B409" s="13"/>
      <c r="C409" s="13"/>
      <c r="D409" s="13"/>
      <c r="E409" s="13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3"/>
      <c r="B410" s="13"/>
      <c r="C410" s="13"/>
      <c r="D410" s="13"/>
      <c r="E410" s="13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3"/>
      <c r="B411" s="13"/>
      <c r="C411" s="13"/>
      <c r="D411" s="13"/>
      <c r="E411" s="13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3"/>
      <c r="B412" s="13"/>
      <c r="C412" s="13"/>
      <c r="D412" s="13"/>
      <c r="E412" s="13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3"/>
      <c r="B413" s="13"/>
      <c r="C413" s="13"/>
      <c r="D413" s="13"/>
      <c r="E413" s="13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3"/>
      <c r="B414" s="13"/>
      <c r="C414" s="13"/>
      <c r="D414" s="13"/>
      <c r="E414" s="13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3"/>
      <c r="B415" s="13"/>
      <c r="C415" s="13"/>
      <c r="D415" s="13"/>
      <c r="E415" s="13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3"/>
      <c r="B416" s="13"/>
      <c r="C416" s="13"/>
      <c r="D416" s="13"/>
      <c r="E416" s="13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3"/>
      <c r="B417" s="13"/>
      <c r="C417" s="13"/>
      <c r="D417" s="13"/>
      <c r="E417" s="13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3"/>
      <c r="B418" s="13"/>
      <c r="C418" s="13"/>
      <c r="D418" s="13"/>
      <c r="E418" s="13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3"/>
      <c r="B419" s="13"/>
      <c r="C419" s="13"/>
      <c r="D419" s="13"/>
      <c r="E419" s="13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3"/>
      <c r="B420" s="13"/>
      <c r="C420" s="13"/>
      <c r="D420" s="13"/>
      <c r="E420" s="13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3"/>
      <c r="B421" s="13"/>
      <c r="C421" s="13"/>
      <c r="D421" s="13"/>
      <c r="E421" s="13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3"/>
      <c r="B422" s="13"/>
      <c r="C422" s="13"/>
      <c r="D422" s="13"/>
      <c r="E422" s="13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3"/>
      <c r="B423" s="13"/>
      <c r="C423" s="13"/>
      <c r="D423" s="13"/>
      <c r="E423" s="13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3"/>
      <c r="B424" s="13"/>
      <c r="C424" s="13"/>
      <c r="D424" s="13"/>
      <c r="E424" s="13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3"/>
      <c r="B425" s="13"/>
      <c r="C425" s="13"/>
      <c r="D425" s="13"/>
      <c r="E425" s="13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3"/>
      <c r="B426" s="13"/>
      <c r="C426" s="13"/>
      <c r="D426" s="13"/>
      <c r="E426" s="13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3"/>
      <c r="B427" s="13"/>
      <c r="C427" s="13"/>
      <c r="D427" s="13"/>
      <c r="E427" s="13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3"/>
      <c r="B428" s="13"/>
      <c r="C428" s="13"/>
      <c r="D428" s="13"/>
      <c r="E428" s="13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3"/>
      <c r="B429" s="13"/>
      <c r="C429" s="13"/>
      <c r="D429" s="13"/>
      <c r="E429" s="13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3"/>
      <c r="B430" s="13"/>
      <c r="C430" s="13"/>
      <c r="D430" s="13"/>
      <c r="E430" s="13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3"/>
      <c r="B431" s="13"/>
      <c r="C431" s="13"/>
      <c r="D431" s="13"/>
      <c r="E431" s="13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3"/>
      <c r="B432" s="13"/>
      <c r="C432" s="13"/>
      <c r="D432" s="13"/>
      <c r="E432" s="13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3"/>
      <c r="B433" s="13"/>
      <c r="C433" s="13"/>
      <c r="D433" s="13"/>
      <c r="E433" s="13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3"/>
      <c r="B434" s="13"/>
      <c r="C434" s="13"/>
      <c r="D434" s="13"/>
      <c r="E434" s="13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3"/>
      <c r="B435" s="13"/>
      <c r="C435" s="13"/>
      <c r="D435" s="13"/>
      <c r="E435" s="13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3"/>
      <c r="B436" s="13"/>
      <c r="C436" s="13"/>
      <c r="D436" s="13"/>
      <c r="E436" s="13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3"/>
      <c r="B437" s="13"/>
      <c r="C437" s="13"/>
      <c r="D437" s="13"/>
      <c r="E437" s="13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3"/>
      <c r="B438" s="13"/>
      <c r="C438" s="13"/>
      <c r="D438" s="13"/>
      <c r="E438" s="13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3"/>
      <c r="B439" s="13"/>
      <c r="C439" s="13"/>
      <c r="D439" s="13"/>
      <c r="E439" s="13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3"/>
      <c r="B440" s="13"/>
      <c r="C440" s="13"/>
      <c r="D440" s="13"/>
      <c r="E440" s="13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3"/>
      <c r="B441" s="13"/>
      <c r="C441" s="13"/>
      <c r="D441" s="13"/>
      <c r="E441" s="13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3"/>
      <c r="B442" s="13"/>
      <c r="C442" s="13"/>
      <c r="D442" s="13"/>
      <c r="E442" s="13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3"/>
      <c r="B443" s="13"/>
      <c r="C443" s="13"/>
      <c r="D443" s="13"/>
      <c r="E443" s="13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3"/>
      <c r="B444" s="13"/>
      <c r="C444" s="13"/>
      <c r="D444" s="13"/>
      <c r="E444" s="13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3"/>
      <c r="B445" s="13"/>
      <c r="C445" s="13"/>
      <c r="D445" s="13"/>
      <c r="E445" s="13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3"/>
      <c r="B446" s="13"/>
      <c r="C446" s="13"/>
      <c r="D446" s="13"/>
      <c r="E446" s="13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3"/>
      <c r="B447" s="13"/>
      <c r="C447" s="13"/>
      <c r="D447" s="13"/>
      <c r="E447" s="13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3"/>
      <c r="B448" s="13"/>
      <c r="C448" s="13"/>
      <c r="D448" s="13"/>
      <c r="E448" s="13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3"/>
      <c r="B449" s="13"/>
      <c r="C449" s="13"/>
      <c r="D449" s="13"/>
      <c r="E449" s="13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3"/>
      <c r="B450" s="13"/>
      <c r="C450" s="13"/>
      <c r="D450" s="13"/>
      <c r="E450" s="13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3"/>
      <c r="B451" s="13"/>
      <c r="C451" s="13"/>
      <c r="D451" s="13"/>
      <c r="E451" s="13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3"/>
      <c r="B452" s="13"/>
      <c r="C452" s="13"/>
      <c r="D452" s="13"/>
      <c r="E452" s="13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3"/>
      <c r="B453" s="13"/>
      <c r="C453" s="13"/>
      <c r="D453" s="13"/>
      <c r="E453" s="13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3"/>
      <c r="B454" s="13"/>
      <c r="C454" s="13"/>
      <c r="D454" s="13"/>
      <c r="E454" s="13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3"/>
      <c r="B455" s="13"/>
      <c r="C455" s="13"/>
      <c r="D455" s="13"/>
      <c r="E455" s="13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3"/>
      <c r="B456" s="13"/>
      <c r="C456" s="13"/>
      <c r="D456" s="13"/>
      <c r="E456" s="13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3"/>
      <c r="B457" s="13"/>
      <c r="C457" s="13"/>
      <c r="D457" s="13"/>
      <c r="E457" s="13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3"/>
      <c r="B458" s="13"/>
      <c r="C458" s="13"/>
      <c r="D458" s="13"/>
      <c r="E458" s="13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3"/>
      <c r="B459" s="13"/>
      <c r="C459" s="13"/>
      <c r="D459" s="13"/>
      <c r="E459" s="13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3"/>
      <c r="B460" s="13"/>
      <c r="C460" s="13"/>
      <c r="D460" s="13"/>
      <c r="E460" s="13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3"/>
      <c r="B461" s="13"/>
      <c r="C461" s="13"/>
      <c r="D461" s="13"/>
      <c r="E461" s="13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3"/>
      <c r="B462" s="13"/>
      <c r="C462" s="13"/>
      <c r="D462" s="13"/>
      <c r="E462" s="13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3"/>
      <c r="B463" s="13"/>
      <c r="C463" s="13"/>
      <c r="D463" s="13"/>
      <c r="E463" s="13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3"/>
      <c r="B464" s="13"/>
      <c r="C464" s="13"/>
      <c r="D464" s="13"/>
      <c r="E464" s="13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3"/>
      <c r="B465" s="13"/>
      <c r="C465" s="13"/>
      <c r="D465" s="13"/>
      <c r="E465" s="13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3"/>
      <c r="B466" s="13"/>
      <c r="C466" s="13"/>
      <c r="D466" s="13"/>
      <c r="E466" s="13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3"/>
      <c r="B467" s="13"/>
      <c r="C467" s="13"/>
      <c r="D467" s="13"/>
      <c r="E467" s="13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3"/>
      <c r="B468" s="13"/>
      <c r="C468" s="13"/>
      <c r="D468" s="13"/>
      <c r="E468" s="13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3"/>
      <c r="B469" s="13"/>
      <c r="C469" s="13"/>
      <c r="D469" s="13"/>
      <c r="E469" s="13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3"/>
      <c r="B470" s="13"/>
      <c r="C470" s="13"/>
      <c r="D470" s="13"/>
      <c r="E470" s="13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3"/>
      <c r="B471" s="13"/>
      <c r="C471" s="13"/>
      <c r="D471" s="13"/>
      <c r="E471" s="13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3"/>
      <c r="B472" s="13"/>
      <c r="C472" s="13"/>
      <c r="D472" s="13"/>
      <c r="E472" s="13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3"/>
      <c r="B473" s="13"/>
      <c r="C473" s="13"/>
      <c r="D473" s="13"/>
      <c r="E473" s="13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3"/>
      <c r="B474" s="13"/>
      <c r="C474" s="13"/>
      <c r="D474" s="13"/>
      <c r="E474" s="13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3"/>
      <c r="B475" s="13"/>
      <c r="C475" s="13"/>
      <c r="D475" s="13"/>
      <c r="E475" s="13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3"/>
      <c r="B476" s="13"/>
      <c r="C476" s="13"/>
      <c r="D476" s="13"/>
      <c r="E476" s="13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3"/>
      <c r="B477" s="13"/>
      <c r="C477" s="13"/>
      <c r="D477" s="13"/>
      <c r="E477" s="13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3"/>
      <c r="B478" s="13"/>
      <c r="C478" s="13"/>
      <c r="D478" s="13"/>
      <c r="E478" s="13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3"/>
      <c r="B479" s="13"/>
      <c r="C479" s="13"/>
      <c r="D479" s="13"/>
      <c r="E479" s="13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3"/>
      <c r="B480" s="13"/>
      <c r="C480" s="13"/>
      <c r="D480" s="13"/>
      <c r="E480" s="13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3"/>
      <c r="B481" s="13"/>
      <c r="C481" s="13"/>
      <c r="D481" s="13"/>
      <c r="E481" s="13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3"/>
      <c r="B482" s="13"/>
      <c r="C482" s="13"/>
      <c r="D482" s="13"/>
      <c r="E482" s="13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3"/>
      <c r="B483" s="13"/>
      <c r="C483" s="13"/>
      <c r="D483" s="13"/>
      <c r="E483" s="13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3"/>
      <c r="B484" s="13"/>
      <c r="C484" s="13"/>
      <c r="D484" s="13"/>
      <c r="E484" s="13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3"/>
      <c r="B485" s="13"/>
      <c r="C485" s="13"/>
      <c r="D485" s="13"/>
      <c r="E485" s="13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3"/>
      <c r="B486" s="13"/>
      <c r="C486" s="13"/>
      <c r="D486" s="13"/>
      <c r="E486" s="13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3"/>
      <c r="B487" s="13"/>
      <c r="C487" s="13"/>
      <c r="D487" s="13"/>
      <c r="E487" s="13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3"/>
      <c r="B488" s="13"/>
      <c r="C488" s="13"/>
      <c r="D488" s="13"/>
      <c r="E488" s="13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3"/>
      <c r="B489" s="13"/>
      <c r="C489" s="13"/>
      <c r="D489" s="13"/>
      <c r="E489" s="13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3"/>
      <c r="B490" s="13"/>
      <c r="C490" s="13"/>
      <c r="D490" s="13"/>
      <c r="E490" s="13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3"/>
      <c r="B491" s="13"/>
      <c r="C491" s="13"/>
      <c r="D491" s="13"/>
      <c r="E491" s="13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3"/>
      <c r="B492" s="13"/>
      <c r="C492" s="13"/>
      <c r="D492" s="13"/>
      <c r="E492" s="13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3"/>
      <c r="B493" s="13"/>
      <c r="C493" s="13"/>
      <c r="D493" s="13"/>
      <c r="E493" s="13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3"/>
      <c r="B494" s="13"/>
      <c r="C494" s="13"/>
      <c r="D494" s="13"/>
      <c r="E494" s="13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3"/>
      <c r="B495" s="13"/>
      <c r="C495" s="13"/>
      <c r="D495" s="13"/>
      <c r="E495" s="13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3"/>
      <c r="B496" s="13"/>
      <c r="C496" s="13"/>
      <c r="D496" s="13"/>
      <c r="E496" s="13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3"/>
      <c r="B497" s="13"/>
      <c r="C497" s="13"/>
      <c r="D497" s="13"/>
      <c r="E497" s="13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3"/>
      <c r="B498" s="13"/>
      <c r="C498" s="13"/>
      <c r="D498" s="13"/>
      <c r="E498" s="13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3"/>
      <c r="B499" s="13"/>
      <c r="C499" s="13"/>
      <c r="D499" s="13"/>
      <c r="E499" s="13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3"/>
      <c r="B500" s="13"/>
      <c r="C500" s="13"/>
      <c r="D500" s="13"/>
      <c r="E500" s="13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3"/>
      <c r="B501" s="13"/>
      <c r="C501" s="13"/>
      <c r="D501" s="13"/>
      <c r="E501" s="13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3"/>
      <c r="B502" s="13"/>
      <c r="C502" s="13"/>
      <c r="D502" s="13"/>
      <c r="E502" s="13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3"/>
      <c r="B503" s="13"/>
      <c r="C503" s="13"/>
      <c r="D503" s="13"/>
      <c r="E503" s="13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3"/>
      <c r="B504" s="13"/>
      <c r="C504" s="13"/>
      <c r="D504" s="13"/>
      <c r="E504" s="13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3"/>
      <c r="B505" s="13"/>
      <c r="C505" s="13"/>
      <c r="D505" s="13"/>
      <c r="E505" s="13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3"/>
      <c r="B506" s="13"/>
      <c r="C506" s="13"/>
      <c r="D506" s="13"/>
      <c r="E506" s="13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3"/>
      <c r="B507" s="13"/>
      <c r="C507" s="13"/>
      <c r="D507" s="13"/>
      <c r="E507" s="13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3"/>
      <c r="B508" s="13"/>
      <c r="C508" s="13"/>
      <c r="D508" s="13"/>
      <c r="E508" s="13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3"/>
      <c r="B509" s="13"/>
      <c r="C509" s="13"/>
      <c r="D509" s="13"/>
      <c r="E509" s="13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3"/>
      <c r="B510" s="13"/>
      <c r="C510" s="13"/>
      <c r="D510" s="13"/>
      <c r="E510" s="13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3"/>
      <c r="B511" s="13"/>
      <c r="C511" s="13"/>
      <c r="D511" s="13"/>
      <c r="E511" s="13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3"/>
      <c r="B512" s="13"/>
      <c r="C512" s="13"/>
      <c r="D512" s="13"/>
      <c r="E512" s="13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3"/>
      <c r="B513" s="13"/>
      <c r="C513" s="13"/>
      <c r="D513" s="13"/>
      <c r="E513" s="13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3"/>
      <c r="B514" s="13"/>
      <c r="C514" s="13"/>
      <c r="D514" s="13"/>
      <c r="E514" s="13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3"/>
      <c r="B515" s="13"/>
      <c r="C515" s="13"/>
      <c r="D515" s="13"/>
      <c r="E515" s="13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3"/>
      <c r="B516" s="13"/>
      <c r="C516" s="13"/>
      <c r="D516" s="13"/>
      <c r="E516" s="13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3"/>
      <c r="B517" s="13"/>
      <c r="C517" s="13"/>
      <c r="D517" s="13"/>
      <c r="E517" s="13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3"/>
      <c r="B518" s="13"/>
      <c r="C518" s="13"/>
      <c r="D518" s="13"/>
      <c r="E518" s="13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3"/>
      <c r="B519" s="13"/>
      <c r="C519" s="13"/>
      <c r="D519" s="13"/>
      <c r="E519" s="13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3"/>
      <c r="B520" s="13"/>
      <c r="C520" s="13"/>
      <c r="D520" s="13"/>
      <c r="E520" s="13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3"/>
      <c r="B521" s="13"/>
      <c r="C521" s="13"/>
      <c r="D521" s="13"/>
      <c r="E521" s="13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3"/>
      <c r="B522" s="13"/>
      <c r="C522" s="13"/>
      <c r="D522" s="13"/>
      <c r="E522" s="13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3"/>
      <c r="B523" s="13"/>
      <c r="C523" s="13"/>
      <c r="D523" s="13"/>
      <c r="E523" s="13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3"/>
      <c r="B524" s="13"/>
      <c r="C524" s="13"/>
      <c r="D524" s="13"/>
      <c r="E524" s="13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3"/>
      <c r="B525" s="13"/>
      <c r="C525" s="13"/>
      <c r="D525" s="13"/>
      <c r="E525" s="13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3"/>
      <c r="B526" s="13"/>
      <c r="C526" s="13"/>
      <c r="D526" s="13"/>
      <c r="E526" s="13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3"/>
      <c r="B527" s="13"/>
      <c r="C527" s="13"/>
      <c r="D527" s="13"/>
      <c r="E527" s="13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3"/>
      <c r="B528" s="13"/>
      <c r="C528" s="13"/>
      <c r="D528" s="13"/>
      <c r="E528" s="13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3"/>
      <c r="B529" s="13"/>
      <c r="C529" s="13"/>
      <c r="D529" s="13"/>
      <c r="E529" s="13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3"/>
      <c r="B530" s="13"/>
      <c r="C530" s="13"/>
      <c r="D530" s="13"/>
      <c r="E530" s="13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3"/>
      <c r="B531" s="13"/>
      <c r="C531" s="13"/>
      <c r="D531" s="13"/>
      <c r="E531" s="13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3"/>
      <c r="B532" s="13"/>
      <c r="C532" s="13"/>
      <c r="D532" s="13"/>
      <c r="E532" s="13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3"/>
      <c r="B533" s="13"/>
      <c r="C533" s="13"/>
      <c r="D533" s="13"/>
      <c r="E533" s="13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3"/>
      <c r="B534" s="13"/>
      <c r="C534" s="13"/>
      <c r="D534" s="13"/>
      <c r="E534" s="13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3"/>
      <c r="B535" s="13"/>
      <c r="C535" s="13"/>
      <c r="D535" s="13"/>
      <c r="E535" s="13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3"/>
      <c r="B536" s="13"/>
      <c r="C536" s="13"/>
      <c r="D536" s="13"/>
      <c r="E536" s="13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3"/>
      <c r="B537" s="13"/>
      <c r="C537" s="13"/>
      <c r="D537" s="13"/>
      <c r="E537" s="13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3"/>
      <c r="B538" s="13"/>
      <c r="C538" s="13"/>
      <c r="D538" s="13"/>
      <c r="E538" s="13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3"/>
      <c r="B539" s="13"/>
      <c r="C539" s="13"/>
      <c r="D539" s="13"/>
      <c r="E539" s="13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3"/>
      <c r="B540" s="13"/>
      <c r="C540" s="13"/>
      <c r="D540" s="13"/>
      <c r="E540" s="13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3"/>
      <c r="B541" s="13"/>
      <c r="C541" s="13"/>
      <c r="D541" s="13"/>
      <c r="E541" s="13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3"/>
      <c r="B542" s="13"/>
      <c r="C542" s="13"/>
      <c r="D542" s="13"/>
      <c r="E542" s="13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3"/>
      <c r="B543" s="13"/>
      <c r="C543" s="13"/>
      <c r="D543" s="13"/>
      <c r="E543" s="13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3"/>
      <c r="B544" s="13"/>
      <c r="C544" s="13"/>
      <c r="D544" s="13"/>
      <c r="E544" s="13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3"/>
      <c r="B545" s="13"/>
      <c r="C545" s="13"/>
      <c r="D545" s="13"/>
      <c r="E545" s="13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3"/>
      <c r="B546" s="13"/>
      <c r="C546" s="13"/>
      <c r="D546" s="13"/>
      <c r="E546" s="13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3"/>
      <c r="B547" s="13"/>
      <c r="C547" s="13"/>
      <c r="D547" s="13"/>
      <c r="E547" s="13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3"/>
      <c r="B548" s="13"/>
      <c r="C548" s="13"/>
      <c r="D548" s="13"/>
      <c r="E548" s="13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3"/>
      <c r="B549" s="13"/>
      <c r="C549" s="13"/>
      <c r="D549" s="13"/>
      <c r="E549" s="13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3"/>
      <c r="B550" s="13"/>
      <c r="C550" s="13"/>
      <c r="D550" s="13"/>
      <c r="E550" s="13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3"/>
      <c r="B551" s="13"/>
      <c r="C551" s="13"/>
      <c r="D551" s="13"/>
      <c r="E551" s="13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3"/>
      <c r="B552" s="13"/>
      <c r="C552" s="13"/>
      <c r="D552" s="13"/>
      <c r="E552" s="13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3"/>
      <c r="B553" s="13"/>
      <c r="C553" s="13"/>
      <c r="D553" s="13"/>
      <c r="E553" s="13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3"/>
      <c r="B554" s="13"/>
      <c r="C554" s="13"/>
      <c r="D554" s="13"/>
      <c r="E554" s="13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3"/>
      <c r="B555" s="13"/>
      <c r="C555" s="13"/>
      <c r="D555" s="13"/>
      <c r="E555" s="13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3"/>
      <c r="B556" s="13"/>
      <c r="C556" s="13"/>
      <c r="D556" s="13"/>
      <c r="E556" s="13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3"/>
      <c r="B557" s="13"/>
      <c r="C557" s="13"/>
      <c r="D557" s="13"/>
      <c r="E557" s="13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3"/>
      <c r="B558" s="13"/>
      <c r="C558" s="13"/>
      <c r="D558" s="13"/>
      <c r="E558" s="13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3"/>
      <c r="B559" s="13"/>
      <c r="C559" s="13"/>
      <c r="D559" s="13"/>
      <c r="E559" s="13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3"/>
      <c r="B560" s="13"/>
      <c r="C560" s="13"/>
      <c r="D560" s="13"/>
      <c r="E560" s="13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3"/>
      <c r="B561" s="13"/>
      <c r="C561" s="13"/>
      <c r="D561" s="13"/>
      <c r="E561" s="13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3"/>
      <c r="B562" s="13"/>
      <c r="C562" s="13"/>
      <c r="D562" s="13"/>
      <c r="E562" s="13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3"/>
      <c r="B563" s="13"/>
      <c r="C563" s="13"/>
      <c r="D563" s="13"/>
      <c r="E563" s="13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3"/>
      <c r="B564" s="13"/>
      <c r="C564" s="13"/>
      <c r="D564" s="13"/>
      <c r="E564" s="13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3"/>
      <c r="B565" s="13"/>
      <c r="C565" s="13"/>
      <c r="D565" s="13"/>
      <c r="E565" s="13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3"/>
      <c r="B566" s="13"/>
      <c r="C566" s="13"/>
      <c r="D566" s="13"/>
      <c r="E566" s="13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3"/>
      <c r="B567" s="13"/>
      <c r="C567" s="13"/>
      <c r="D567" s="13"/>
      <c r="E567" s="13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3"/>
      <c r="B568" s="13"/>
      <c r="C568" s="13"/>
      <c r="D568" s="13"/>
      <c r="E568" s="13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3"/>
      <c r="B569" s="13"/>
      <c r="C569" s="13"/>
      <c r="D569" s="13"/>
      <c r="E569" s="13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3"/>
      <c r="B570" s="13"/>
      <c r="C570" s="13"/>
      <c r="D570" s="13"/>
      <c r="E570" s="13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3"/>
      <c r="B571" s="13"/>
      <c r="C571" s="13"/>
      <c r="D571" s="13"/>
      <c r="E571" s="13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3"/>
      <c r="B572" s="13"/>
      <c r="C572" s="13"/>
      <c r="D572" s="13"/>
      <c r="E572" s="13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3"/>
      <c r="B573" s="13"/>
      <c r="C573" s="13"/>
      <c r="D573" s="13"/>
      <c r="E573" s="13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3"/>
      <c r="B574" s="13"/>
      <c r="C574" s="13"/>
      <c r="D574" s="13"/>
      <c r="E574" s="13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3"/>
      <c r="B575" s="13"/>
      <c r="C575" s="13"/>
      <c r="D575" s="13"/>
      <c r="E575" s="13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3"/>
      <c r="B576" s="13"/>
      <c r="C576" s="13"/>
      <c r="D576" s="13"/>
      <c r="E576" s="13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3"/>
      <c r="B577" s="13"/>
      <c r="C577" s="13"/>
      <c r="D577" s="13"/>
      <c r="E577" s="13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3"/>
      <c r="B578" s="13"/>
      <c r="C578" s="13"/>
      <c r="D578" s="13"/>
      <c r="E578" s="13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3"/>
      <c r="B579" s="13"/>
      <c r="C579" s="13"/>
      <c r="D579" s="13"/>
      <c r="E579" s="13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3"/>
      <c r="B580" s="13"/>
      <c r="C580" s="13"/>
      <c r="D580" s="13"/>
      <c r="E580" s="13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3"/>
      <c r="B581" s="13"/>
      <c r="C581" s="13"/>
      <c r="D581" s="13"/>
      <c r="E581" s="13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3"/>
      <c r="B582" s="13"/>
      <c r="C582" s="13"/>
      <c r="D582" s="13"/>
      <c r="E582" s="13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3"/>
      <c r="B583" s="13"/>
      <c r="C583" s="13"/>
      <c r="D583" s="13"/>
      <c r="E583" s="13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3"/>
      <c r="B584" s="13"/>
      <c r="C584" s="13"/>
      <c r="D584" s="13"/>
      <c r="E584" s="13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3"/>
      <c r="B585" s="13"/>
      <c r="C585" s="13"/>
      <c r="D585" s="13"/>
      <c r="E585" s="13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3"/>
      <c r="B586" s="13"/>
      <c r="C586" s="13"/>
      <c r="D586" s="13"/>
      <c r="E586" s="13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3"/>
      <c r="B587" s="13"/>
      <c r="C587" s="13"/>
      <c r="D587" s="13"/>
      <c r="E587" s="13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3"/>
      <c r="B588" s="13"/>
      <c r="C588" s="13"/>
      <c r="D588" s="13"/>
      <c r="E588" s="13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3"/>
      <c r="B589" s="13"/>
      <c r="C589" s="13"/>
      <c r="D589" s="13"/>
      <c r="E589" s="13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3"/>
      <c r="B590" s="13"/>
      <c r="C590" s="13"/>
      <c r="D590" s="13"/>
      <c r="E590" s="13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3"/>
      <c r="B591" s="13"/>
      <c r="C591" s="13"/>
      <c r="D591" s="13"/>
      <c r="E591" s="13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3"/>
      <c r="B592" s="13"/>
      <c r="C592" s="13"/>
      <c r="D592" s="13"/>
      <c r="E592" s="13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3"/>
      <c r="B593" s="13"/>
      <c r="C593" s="13"/>
      <c r="D593" s="13"/>
      <c r="E593" s="13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3"/>
      <c r="B594" s="13"/>
      <c r="C594" s="13"/>
      <c r="D594" s="13"/>
      <c r="E594" s="13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3"/>
      <c r="B595" s="13"/>
      <c r="C595" s="13"/>
      <c r="D595" s="13"/>
      <c r="E595" s="13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3"/>
      <c r="B596" s="13"/>
      <c r="C596" s="13"/>
      <c r="D596" s="13"/>
      <c r="E596" s="13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3"/>
      <c r="B597" s="13"/>
      <c r="C597" s="13"/>
      <c r="D597" s="13"/>
      <c r="E597" s="13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3"/>
      <c r="B598" s="13"/>
      <c r="C598" s="13"/>
      <c r="D598" s="13"/>
      <c r="E598" s="13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3"/>
      <c r="B599" s="13"/>
      <c r="C599" s="13"/>
      <c r="D599" s="13"/>
      <c r="E599" s="13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3"/>
      <c r="B600" s="13"/>
      <c r="C600" s="13"/>
      <c r="D600" s="13"/>
      <c r="E600" s="13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3"/>
      <c r="B601" s="13"/>
      <c r="C601" s="13"/>
      <c r="D601" s="13"/>
      <c r="E601" s="13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3"/>
      <c r="B602" s="13"/>
      <c r="C602" s="13"/>
      <c r="D602" s="13"/>
      <c r="E602" s="13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3"/>
      <c r="B603" s="13"/>
      <c r="C603" s="13"/>
      <c r="D603" s="13"/>
      <c r="E603" s="13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3"/>
      <c r="B604" s="13"/>
      <c r="C604" s="13"/>
      <c r="D604" s="13"/>
      <c r="E604" s="13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3"/>
      <c r="B605" s="13"/>
      <c r="C605" s="13"/>
      <c r="D605" s="13"/>
      <c r="E605" s="13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3"/>
      <c r="B606" s="13"/>
      <c r="C606" s="13"/>
      <c r="D606" s="13"/>
      <c r="E606" s="13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3"/>
      <c r="B607" s="13"/>
      <c r="C607" s="13"/>
      <c r="D607" s="13"/>
      <c r="E607" s="13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3"/>
      <c r="B608" s="13"/>
      <c r="C608" s="13"/>
      <c r="D608" s="13"/>
      <c r="E608" s="13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3"/>
      <c r="B609" s="13"/>
      <c r="C609" s="13"/>
      <c r="D609" s="13"/>
      <c r="E609" s="13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3"/>
      <c r="B610" s="13"/>
      <c r="C610" s="13"/>
      <c r="D610" s="13"/>
      <c r="E610" s="13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3"/>
      <c r="B611" s="13"/>
      <c r="C611" s="13"/>
      <c r="D611" s="13"/>
      <c r="E611" s="13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3"/>
      <c r="B612" s="13"/>
      <c r="C612" s="13"/>
      <c r="D612" s="13"/>
      <c r="E612" s="13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3"/>
      <c r="B613" s="13"/>
      <c r="C613" s="13"/>
      <c r="D613" s="13"/>
      <c r="E613" s="13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3"/>
      <c r="B614" s="13"/>
      <c r="C614" s="13"/>
      <c r="D614" s="13"/>
      <c r="E614" s="13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3"/>
      <c r="B615" s="13"/>
      <c r="C615" s="13"/>
      <c r="D615" s="13"/>
      <c r="E615" s="13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3"/>
      <c r="B616" s="13"/>
      <c r="C616" s="13"/>
      <c r="D616" s="13"/>
      <c r="E616" s="13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3"/>
      <c r="B617" s="13"/>
      <c r="C617" s="13"/>
      <c r="D617" s="13"/>
      <c r="E617" s="13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3"/>
      <c r="B618" s="13"/>
      <c r="C618" s="13"/>
      <c r="D618" s="13"/>
      <c r="E618" s="13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3"/>
      <c r="B619" s="13"/>
      <c r="C619" s="13"/>
      <c r="D619" s="13"/>
      <c r="E619" s="13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3"/>
      <c r="B620" s="13"/>
      <c r="C620" s="13"/>
      <c r="D620" s="13"/>
      <c r="E620" s="13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3"/>
      <c r="B621" s="13"/>
      <c r="C621" s="13"/>
      <c r="D621" s="13"/>
      <c r="E621" s="13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3"/>
      <c r="B622" s="13"/>
      <c r="C622" s="13"/>
      <c r="D622" s="13"/>
      <c r="E622" s="13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3"/>
      <c r="B623" s="13"/>
      <c r="C623" s="13"/>
      <c r="D623" s="13"/>
      <c r="E623" s="13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3"/>
      <c r="B624" s="13"/>
      <c r="C624" s="13"/>
      <c r="D624" s="13"/>
      <c r="E624" s="13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3"/>
      <c r="B625" s="13"/>
      <c r="C625" s="13"/>
      <c r="D625" s="13"/>
      <c r="E625" s="13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3"/>
      <c r="B626" s="13"/>
      <c r="C626" s="13"/>
      <c r="D626" s="13"/>
      <c r="E626" s="13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3"/>
      <c r="B627" s="13"/>
      <c r="C627" s="13"/>
      <c r="D627" s="13"/>
      <c r="E627" s="13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3"/>
      <c r="B628" s="13"/>
      <c r="C628" s="13"/>
      <c r="D628" s="13"/>
      <c r="E628" s="13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3"/>
      <c r="B629" s="13"/>
      <c r="C629" s="13"/>
      <c r="D629" s="13"/>
      <c r="E629" s="13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3"/>
      <c r="B630" s="13"/>
      <c r="C630" s="13"/>
      <c r="D630" s="13"/>
      <c r="E630" s="13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3"/>
      <c r="B631" s="13"/>
      <c r="C631" s="13"/>
      <c r="D631" s="13"/>
      <c r="E631" s="13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3"/>
      <c r="B632" s="13"/>
      <c r="C632" s="13"/>
      <c r="D632" s="13"/>
      <c r="E632" s="13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3"/>
      <c r="B633" s="13"/>
      <c r="C633" s="13"/>
      <c r="D633" s="13"/>
      <c r="E633" s="13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3"/>
      <c r="B634" s="13"/>
      <c r="C634" s="13"/>
      <c r="D634" s="13"/>
      <c r="E634" s="13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3"/>
      <c r="B635" s="13"/>
      <c r="C635" s="13"/>
      <c r="D635" s="13"/>
      <c r="E635" s="13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3"/>
      <c r="B636" s="13"/>
      <c r="C636" s="13"/>
      <c r="D636" s="13"/>
      <c r="E636" s="13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3"/>
      <c r="B637" s="13"/>
      <c r="C637" s="13"/>
      <c r="D637" s="13"/>
      <c r="E637" s="13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3"/>
      <c r="B638" s="13"/>
      <c r="C638" s="13"/>
      <c r="D638" s="13"/>
      <c r="E638" s="13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3"/>
      <c r="B639" s="13"/>
      <c r="C639" s="13"/>
      <c r="D639" s="13"/>
      <c r="E639" s="13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3"/>
      <c r="B640" s="13"/>
      <c r="C640" s="13"/>
      <c r="D640" s="13"/>
      <c r="E640" s="13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3"/>
      <c r="B641" s="13"/>
      <c r="C641" s="13"/>
      <c r="D641" s="13"/>
      <c r="E641" s="13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3"/>
      <c r="B642" s="13"/>
      <c r="C642" s="13"/>
      <c r="D642" s="13"/>
      <c r="E642" s="13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3"/>
      <c r="B643" s="13"/>
      <c r="C643" s="13"/>
      <c r="D643" s="13"/>
      <c r="E643" s="13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3"/>
      <c r="B644" s="13"/>
      <c r="C644" s="13"/>
      <c r="D644" s="13"/>
      <c r="E644" s="13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3"/>
      <c r="B645" s="13"/>
      <c r="C645" s="13"/>
      <c r="D645" s="13"/>
      <c r="E645" s="13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3"/>
      <c r="B646" s="13"/>
      <c r="C646" s="13"/>
      <c r="D646" s="13"/>
      <c r="E646" s="13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3"/>
      <c r="B647" s="13"/>
      <c r="C647" s="13"/>
      <c r="D647" s="13"/>
      <c r="E647" s="13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3"/>
      <c r="B648" s="13"/>
      <c r="C648" s="13"/>
      <c r="D648" s="13"/>
      <c r="E648" s="13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3"/>
      <c r="B649" s="13"/>
      <c r="C649" s="13"/>
      <c r="D649" s="13"/>
      <c r="E649" s="13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3"/>
      <c r="B650" s="13"/>
      <c r="C650" s="13"/>
      <c r="D650" s="13"/>
      <c r="E650" s="13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3"/>
      <c r="B651" s="13"/>
      <c r="C651" s="13"/>
      <c r="D651" s="13"/>
      <c r="E651" s="13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3"/>
      <c r="B652" s="13"/>
      <c r="C652" s="13"/>
      <c r="D652" s="13"/>
      <c r="E652" s="13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3"/>
      <c r="B653" s="13"/>
      <c r="C653" s="13"/>
      <c r="D653" s="13"/>
      <c r="E653" s="13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3"/>
      <c r="B654" s="13"/>
      <c r="C654" s="13"/>
      <c r="D654" s="13"/>
      <c r="E654" s="13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3"/>
      <c r="B655" s="13"/>
      <c r="C655" s="13"/>
      <c r="D655" s="13"/>
      <c r="E655" s="13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3"/>
      <c r="B656" s="13"/>
      <c r="C656" s="13"/>
      <c r="D656" s="13"/>
      <c r="E656" s="13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3"/>
      <c r="B657" s="13"/>
      <c r="C657" s="13"/>
      <c r="D657" s="13"/>
      <c r="E657" s="13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3"/>
      <c r="B658" s="13"/>
      <c r="C658" s="13"/>
      <c r="D658" s="13"/>
      <c r="E658" s="13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3"/>
      <c r="B659" s="13"/>
      <c r="C659" s="13"/>
      <c r="D659" s="13"/>
      <c r="E659" s="13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3"/>
      <c r="B660" s="13"/>
      <c r="C660" s="13"/>
      <c r="D660" s="13"/>
      <c r="E660" s="13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3"/>
      <c r="B661" s="13"/>
      <c r="C661" s="13"/>
      <c r="D661" s="13"/>
      <c r="E661" s="13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3"/>
      <c r="B662" s="13"/>
      <c r="C662" s="13"/>
      <c r="D662" s="13"/>
      <c r="E662" s="13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3"/>
      <c r="B663" s="13"/>
      <c r="C663" s="13"/>
      <c r="D663" s="13"/>
      <c r="E663" s="13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3"/>
      <c r="B664" s="13"/>
      <c r="C664" s="13"/>
      <c r="D664" s="13"/>
      <c r="E664" s="13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3"/>
      <c r="B665" s="13"/>
      <c r="C665" s="13"/>
      <c r="D665" s="13"/>
      <c r="E665" s="13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3"/>
      <c r="B666" s="13"/>
      <c r="C666" s="13"/>
      <c r="D666" s="13"/>
      <c r="E666" s="13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3"/>
      <c r="B667" s="13"/>
      <c r="C667" s="13"/>
      <c r="D667" s="13"/>
      <c r="E667" s="13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3"/>
      <c r="B668" s="13"/>
      <c r="C668" s="13"/>
      <c r="D668" s="13"/>
      <c r="E668" s="13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3"/>
      <c r="B669" s="13"/>
      <c r="C669" s="13"/>
      <c r="D669" s="13"/>
      <c r="E669" s="13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3"/>
      <c r="B670" s="13"/>
      <c r="C670" s="13"/>
      <c r="D670" s="13"/>
      <c r="E670" s="13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3"/>
      <c r="B671" s="13"/>
      <c r="C671" s="13"/>
      <c r="D671" s="13"/>
      <c r="E671" s="13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3"/>
      <c r="B672" s="13"/>
      <c r="C672" s="13"/>
      <c r="D672" s="13"/>
      <c r="E672" s="13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3"/>
      <c r="B673" s="13"/>
      <c r="C673" s="13"/>
      <c r="D673" s="13"/>
      <c r="E673" s="13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3"/>
      <c r="B674" s="13"/>
      <c r="C674" s="13"/>
      <c r="D674" s="13"/>
      <c r="E674" s="13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3"/>
      <c r="B675" s="13"/>
      <c r="C675" s="13"/>
      <c r="D675" s="13"/>
      <c r="E675" s="13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3"/>
      <c r="B676" s="13"/>
      <c r="C676" s="13"/>
      <c r="D676" s="13"/>
      <c r="E676" s="13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3"/>
      <c r="B677" s="13"/>
      <c r="C677" s="13"/>
      <c r="D677" s="13"/>
      <c r="E677" s="13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3"/>
      <c r="B678" s="13"/>
      <c r="C678" s="13"/>
      <c r="D678" s="13"/>
      <c r="E678" s="13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3"/>
      <c r="B679" s="13"/>
      <c r="C679" s="13"/>
      <c r="D679" s="13"/>
      <c r="E679" s="13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3"/>
      <c r="B680" s="13"/>
      <c r="C680" s="13"/>
      <c r="D680" s="13"/>
      <c r="E680" s="13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3"/>
      <c r="B681" s="13"/>
      <c r="C681" s="13"/>
      <c r="D681" s="13"/>
      <c r="E681" s="13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3"/>
      <c r="B682" s="13"/>
      <c r="C682" s="13"/>
      <c r="D682" s="13"/>
      <c r="E682" s="13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3"/>
      <c r="B683" s="13"/>
      <c r="C683" s="13"/>
      <c r="D683" s="13"/>
      <c r="E683" s="13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3"/>
      <c r="B684" s="13"/>
      <c r="C684" s="13"/>
      <c r="D684" s="13"/>
      <c r="E684" s="13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3"/>
      <c r="B685" s="13"/>
      <c r="C685" s="13"/>
      <c r="D685" s="13"/>
      <c r="E685" s="13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3"/>
      <c r="B686" s="13"/>
      <c r="C686" s="13"/>
      <c r="D686" s="13"/>
      <c r="E686" s="13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3"/>
      <c r="B687" s="13"/>
      <c r="C687" s="13"/>
      <c r="D687" s="13"/>
      <c r="E687" s="13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3"/>
      <c r="B688" s="13"/>
      <c r="C688" s="13"/>
      <c r="D688" s="13"/>
      <c r="E688" s="13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3"/>
      <c r="B689" s="13"/>
      <c r="C689" s="13"/>
      <c r="D689" s="13"/>
      <c r="E689" s="13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3"/>
      <c r="B690" s="13"/>
      <c r="C690" s="13"/>
      <c r="D690" s="13"/>
      <c r="E690" s="13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3"/>
      <c r="B691" s="13"/>
      <c r="C691" s="13"/>
      <c r="D691" s="13"/>
      <c r="E691" s="13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3"/>
      <c r="B692" s="13"/>
      <c r="C692" s="13"/>
      <c r="D692" s="13"/>
      <c r="E692" s="13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3"/>
      <c r="B693" s="13"/>
      <c r="C693" s="13"/>
      <c r="D693" s="13"/>
      <c r="E693" s="13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3"/>
      <c r="B694" s="13"/>
      <c r="C694" s="13"/>
      <c r="D694" s="13"/>
      <c r="E694" s="13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3"/>
      <c r="B695" s="13"/>
      <c r="C695" s="13"/>
      <c r="D695" s="13"/>
      <c r="E695" s="13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3"/>
      <c r="B696" s="13"/>
      <c r="C696" s="13"/>
      <c r="D696" s="13"/>
      <c r="E696" s="13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3"/>
      <c r="B697" s="13"/>
      <c r="C697" s="13"/>
      <c r="D697" s="13"/>
      <c r="E697" s="13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3"/>
      <c r="B698" s="13"/>
      <c r="C698" s="13"/>
      <c r="D698" s="13"/>
      <c r="E698" s="13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3"/>
      <c r="B699" s="13"/>
      <c r="C699" s="13"/>
      <c r="D699" s="13"/>
      <c r="E699" s="13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3"/>
      <c r="B700" s="13"/>
      <c r="C700" s="13"/>
      <c r="D700" s="13"/>
      <c r="E700" s="13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3"/>
      <c r="B701" s="13"/>
      <c r="C701" s="13"/>
      <c r="D701" s="13"/>
      <c r="E701" s="13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3"/>
      <c r="B702" s="13"/>
      <c r="C702" s="13"/>
      <c r="D702" s="13"/>
      <c r="E702" s="13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3"/>
      <c r="B703" s="13"/>
      <c r="C703" s="13"/>
      <c r="D703" s="13"/>
      <c r="E703" s="13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3"/>
      <c r="B704" s="13"/>
      <c r="C704" s="13"/>
      <c r="D704" s="13"/>
      <c r="E704" s="13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3"/>
      <c r="B705" s="13"/>
      <c r="C705" s="13"/>
      <c r="D705" s="13"/>
      <c r="E705" s="13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3"/>
      <c r="B706" s="13"/>
      <c r="C706" s="13"/>
      <c r="D706" s="13"/>
      <c r="E706" s="13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3"/>
      <c r="B707" s="13"/>
      <c r="C707" s="13"/>
      <c r="D707" s="13"/>
      <c r="E707" s="13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3"/>
      <c r="B708" s="13"/>
      <c r="C708" s="13"/>
      <c r="D708" s="13"/>
      <c r="E708" s="13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3"/>
      <c r="B709" s="13"/>
      <c r="C709" s="13"/>
      <c r="D709" s="13"/>
      <c r="E709" s="13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3"/>
      <c r="B710" s="13"/>
      <c r="C710" s="13"/>
      <c r="D710" s="13"/>
      <c r="E710" s="13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3"/>
      <c r="B711" s="13"/>
      <c r="C711" s="13"/>
      <c r="D711" s="13"/>
      <c r="E711" s="13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3"/>
      <c r="B712" s="13"/>
      <c r="C712" s="13"/>
      <c r="D712" s="13"/>
      <c r="E712" s="13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3"/>
      <c r="B713" s="13"/>
      <c r="C713" s="13"/>
      <c r="D713" s="13"/>
      <c r="E713" s="13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3"/>
      <c r="B714" s="13"/>
      <c r="C714" s="13"/>
      <c r="D714" s="13"/>
      <c r="E714" s="13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3"/>
      <c r="B715" s="13"/>
      <c r="C715" s="13"/>
      <c r="D715" s="13"/>
      <c r="E715" s="13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3"/>
      <c r="B716" s="13"/>
      <c r="C716" s="13"/>
      <c r="D716" s="13"/>
      <c r="E716" s="13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3"/>
      <c r="B717" s="13"/>
      <c r="C717" s="13"/>
      <c r="D717" s="13"/>
      <c r="E717" s="13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3"/>
      <c r="B718" s="13"/>
      <c r="C718" s="13"/>
      <c r="D718" s="13"/>
      <c r="E718" s="13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3"/>
      <c r="B719" s="13"/>
      <c r="C719" s="13"/>
      <c r="D719" s="13"/>
      <c r="E719" s="13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3"/>
      <c r="B720" s="13"/>
      <c r="C720" s="13"/>
      <c r="D720" s="13"/>
      <c r="E720" s="13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3"/>
      <c r="B721" s="13"/>
      <c r="C721" s="13"/>
      <c r="D721" s="13"/>
      <c r="E721" s="13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3"/>
      <c r="B722" s="13"/>
      <c r="C722" s="13"/>
      <c r="D722" s="13"/>
      <c r="E722" s="13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3"/>
      <c r="B723" s="13"/>
      <c r="C723" s="13"/>
      <c r="D723" s="13"/>
      <c r="E723" s="13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3"/>
      <c r="B724" s="13"/>
      <c r="C724" s="13"/>
      <c r="D724" s="13"/>
      <c r="E724" s="13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3"/>
      <c r="B725" s="13"/>
      <c r="C725" s="13"/>
      <c r="D725" s="13"/>
      <c r="E725" s="13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3"/>
      <c r="B726" s="13"/>
      <c r="C726" s="13"/>
      <c r="D726" s="13"/>
      <c r="E726" s="13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3"/>
      <c r="B727" s="13"/>
      <c r="C727" s="13"/>
      <c r="D727" s="13"/>
      <c r="E727" s="13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3"/>
      <c r="B728" s="13"/>
      <c r="C728" s="13"/>
      <c r="D728" s="13"/>
      <c r="E728" s="13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3"/>
      <c r="B729" s="13"/>
      <c r="C729" s="13"/>
      <c r="D729" s="13"/>
      <c r="E729" s="13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3"/>
      <c r="B730" s="13"/>
      <c r="C730" s="13"/>
      <c r="D730" s="13"/>
      <c r="E730" s="13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3"/>
      <c r="B731" s="13"/>
      <c r="C731" s="13"/>
      <c r="D731" s="13"/>
      <c r="E731" s="13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3"/>
      <c r="B732" s="13"/>
      <c r="C732" s="13"/>
      <c r="D732" s="13"/>
      <c r="E732" s="13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3"/>
      <c r="B733" s="13"/>
      <c r="C733" s="13"/>
      <c r="D733" s="13"/>
      <c r="E733" s="13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3"/>
      <c r="B734" s="13"/>
      <c r="C734" s="13"/>
      <c r="D734" s="13"/>
      <c r="E734" s="13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3"/>
      <c r="B735" s="13"/>
      <c r="C735" s="13"/>
      <c r="D735" s="13"/>
      <c r="E735" s="13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3"/>
      <c r="B736" s="13"/>
      <c r="C736" s="13"/>
      <c r="D736" s="13"/>
      <c r="E736" s="13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3"/>
      <c r="B737" s="13"/>
      <c r="C737" s="13"/>
      <c r="D737" s="13"/>
      <c r="E737" s="13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3"/>
      <c r="B738" s="13"/>
      <c r="C738" s="13"/>
      <c r="D738" s="13"/>
      <c r="E738" s="13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3"/>
      <c r="B739" s="13"/>
      <c r="C739" s="13"/>
      <c r="D739" s="13"/>
      <c r="E739" s="13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3"/>
      <c r="B740" s="13"/>
      <c r="C740" s="13"/>
      <c r="D740" s="13"/>
      <c r="E740" s="13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3"/>
      <c r="B741" s="13"/>
      <c r="C741" s="13"/>
      <c r="D741" s="13"/>
      <c r="E741" s="13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3"/>
      <c r="B742" s="13"/>
      <c r="C742" s="13"/>
      <c r="D742" s="13"/>
      <c r="E742" s="13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3"/>
      <c r="B743" s="13"/>
      <c r="C743" s="13"/>
      <c r="D743" s="13"/>
      <c r="E743" s="13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3"/>
      <c r="B744" s="13"/>
      <c r="C744" s="13"/>
      <c r="D744" s="13"/>
      <c r="E744" s="13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3"/>
      <c r="B745" s="13"/>
      <c r="C745" s="13"/>
      <c r="D745" s="13"/>
      <c r="E745" s="13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3"/>
      <c r="B746" s="13"/>
      <c r="C746" s="13"/>
      <c r="D746" s="13"/>
      <c r="E746" s="13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3"/>
      <c r="B747" s="13"/>
      <c r="C747" s="13"/>
      <c r="D747" s="13"/>
      <c r="E747" s="13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3"/>
      <c r="B748" s="13"/>
      <c r="C748" s="13"/>
      <c r="D748" s="13"/>
      <c r="E748" s="13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3"/>
      <c r="B749" s="13"/>
      <c r="C749" s="13"/>
      <c r="D749" s="13"/>
      <c r="E749" s="13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3"/>
      <c r="B750" s="13"/>
      <c r="C750" s="13"/>
      <c r="D750" s="13"/>
      <c r="E750" s="13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3"/>
      <c r="B751" s="13"/>
      <c r="C751" s="13"/>
      <c r="D751" s="13"/>
      <c r="E751" s="13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3"/>
      <c r="B752" s="13"/>
      <c r="C752" s="13"/>
      <c r="D752" s="13"/>
      <c r="E752" s="13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3"/>
      <c r="B753" s="13"/>
      <c r="C753" s="13"/>
      <c r="D753" s="13"/>
      <c r="E753" s="13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3"/>
      <c r="B754" s="13"/>
      <c r="C754" s="13"/>
      <c r="D754" s="13"/>
      <c r="E754" s="13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3"/>
      <c r="B755" s="13"/>
      <c r="C755" s="13"/>
      <c r="D755" s="13"/>
      <c r="E755" s="13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3"/>
      <c r="B756" s="13"/>
      <c r="C756" s="13"/>
      <c r="D756" s="13"/>
      <c r="E756" s="13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3"/>
      <c r="B757" s="13"/>
      <c r="C757" s="13"/>
      <c r="D757" s="13"/>
      <c r="E757" s="13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3"/>
      <c r="B758" s="13"/>
      <c r="C758" s="13"/>
      <c r="D758" s="13"/>
      <c r="E758" s="13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3"/>
      <c r="B759" s="13"/>
      <c r="C759" s="13"/>
      <c r="D759" s="13"/>
      <c r="E759" s="13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3"/>
      <c r="B760" s="13"/>
      <c r="C760" s="13"/>
      <c r="D760" s="13"/>
      <c r="E760" s="13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3"/>
      <c r="B761" s="13"/>
      <c r="C761" s="13"/>
      <c r="D761" s="13"/>
      <c r="E761" s="13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3"/>
      <c r="B762" s="13"/>
      <c r="C762" s="13"/>
      <c r="D762" s="13"/>
      <c r="E762" s="13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3"/>
      <c r="B763" s="13"/>
      <c r="C763" s="13"/>
      <c r="D763" s="13"/>
      <c r="E763" s="13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3"/>
      <c r="B764" s="13"/>
      <c r="C764" s="13"/>
      <c r="D764" s="13"/>
      <c r="E764" s="13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3"/>
      <c r="B765" s="13"/>
      <c r="C765" s="13"/>
      <c r="D765" s="13"/>
      <c r="E765" s="13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3"/>
      <c r="B766" s="13"/>
      <c r="C766" s="13"/>
      <c r="D766" s="13"/>
      <c r="E766" s="13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3"/>
      <c r="B767" s="13"/>
      <c r="C767" s="13"/>
      <c r="D767" s="13"/>
      <c r="E767" s="13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3"/>
      <c r="B768" s="13"/>
      <c r="C768" s="13"/>
      <c r="D768" s="13"/>
      <c r="E768" s="13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3"/>
      <c r="B769" s="13"/>
      <c r="C769" s="13"/>
      <c r="D769" s="13"/>
      <c r="E769" s="13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3"/>
      <c r="B770" s="13"/>
      <c r="C770" s="13"/>
      <c r="D770" s="13"/>
      <c r="E770" s="13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3"/>
      <c r="B771" s="13"/>
      <c r="C771" s="13"/>
      <c r="D771" s="13"/>
      <c r="E771" s="13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3"/>
      <c r="B772" s="13"/>
      <c r="C772" s="13"/>
      <c r="D772" s="13"/>
      <c r="E772" s="13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3"/>
      <c r="B773" s="13"/>
      <c r="C773" s="13"/>
      <c r="D773" s="13"/>
      <c r="E773" s="13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3"/>
      <c r="B774" s="13"/>
      <c r="C774" s="13"/>
      <c r="D774" s="13"/>
      <c r="E774" s="13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3"/>
      <c r="B775" s="13"/>
      <c r="C775" s="13"/>
      <c r="D775" s="13"/>
      <c r="E775" s="13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3"/>
      <c r="B776" s="13"/>
      <c r="C776" s="13"/>
      <c r="D776" s="13"/>
      <c r="E776" s="13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3"/>
      <c r="B777" s="13"/>
      <c r="C777" s="13"/>
      <c r="D777" s="13"/>
      <c r="E777" s="13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3"/>
      <c r="B778" s="13"/>
      <c r="C778" s="13"/>
      <c r="D778" s="13"/>
      <c r="E778" s="13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3"/>
      <c r="B779" s="13"/>
      <c r="C779" s="13"/>
      <c r="D779" s="13"/>
      <c r="E779" s="13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3"/>
      <c r="B780" s="13"/>
      <c r="C780" s="13"/>
      <c r="D780" s="13"/>
      <c r="E780" s="13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3"/>
      <c r="B781" s="13"/>
      <c r="C781" s="13"/>
      <c r="D781" s="13"/>
      <c r="E781" s="13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3"/>
      <c r="B782" s="13"/>
      <c r="C782" s="13"/>
      <c r="D782" s="13"/>
      <c r="E782" s="13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3"/>
      <c r="B783" s="13"/>
      <c r="C783" s="13"/>
      <c r="D783" s="13"/>
      <c r="E783" s="13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3"/>
      <c r="B784" s="13"/>
      <c r="C784" s="13"/>
      <c r="D784" s="13"/>
      <c r="E784" s="13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3"/>
      <c r="B785" s="13"/>
      <c r="C785" s="13"/>
      <c r="D785" s="13"/>
      <c r="E785" s="13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3"/>
      <c r="B786" s="13"/>
      <c r="C786" s="13"/>
      <c r="D786" s="13"/>
      <c r="E786" s="13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3"/>
      <c r="B787" s="13"/>
      <c r="C787" s="13"/>
      <c r="D787" s="13"/>
      <c r="E787" s="13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3"/>
      <c r="B788" s="13"/>
      <c r="C788" s="13"/>
      <c r="D788" s="13"/>
      <c r="E788" s="13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3"/>
      <c r="B789" s="13"/>
      <c r="C789" s="13"/>
      <c r="D789" s="13"/>
      <c r="E789" s="13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3"/>
      <c r="B790" s="13"/>
      <c r="C790" s="13"/>
      <c r="D790" s="13"/>
      <c r="E790" s="13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3"/>
      <c r="B791" s="13"/>
      <c r="C791" s="13"/>
      <c r="D791" s="13"/>
      <c r="E791" s="13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3"/>
      <c r="B792" s="13"/>
      <c r="C792" s="13"/>
      <c r="D792" s="13"/>
      <c r="E792" s="13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3"/>
      <c r="B793" s="13"/>
      <c r="C793" s="13"/>
      <c r="D793" s="13"/>
      <c r="E793" s="13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3"/>
      <c r="B794" s="13"/>
      <c r="C794" s="13"/>
      <c r="D794" s="13"/>
      <c r="E794" s="13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3"/>
      <c r="B795" s="13"/>
      <c r="C795" s="13"/>
      <c r="D795" s="13"/>
      <c r="E795" s="13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3"/>
      <c r="B796" s="13"/>
      <c r="C796" s="13"/>
      <c r="D796" s="13"/>
      <c r="E796" s="13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3"/>
      <c r="B797" s="13"/>
      <c r="C797" s="13"/>
      <c r="D797" s="13"/>
      <c r="E797" s="13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3"/>
      <c r="B798" s="13"/>
      <c r="C798" s="13"/>
      <c r="D798" s="13"/>
      <c r="E798" s="13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3"/>
      <c r="B799" s="13"/>
      <c r="C799" s="13"/>
      <c r="D799" s="13"/>
      <c r="E799" s="13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3"/>
      <c r="B800" s="13"/>
      <c r="C800" s="13"/>
      <c r="D800" s="13"/>
      <c r="E800" s="13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3"/>
      <c r="B801" s="13"/>
      <c r="C801" s="13"/>
      <c r="D801" s="13"/>
      <c r="E801" s="13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3"/>
      <c r="B802" s="13"/>
      <c r="C802" s="13"/>
      <c r="D802" s="13"/>
      <c r="E802" s="13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3"/>
      <c r="B803" s="13"/>
      <c r="C803" s="13"/>
      <c r="D803" s="13"/>
      <c r="E803" s="13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3"/>
      <c r="B804" s="13"/>
      <c r="C804" s="13"/>
      <c r="D804" s="13"/>
      <c r="E804" s="13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3"/>
      <c r="B805" s="13"/>
      <c r="C805" s="13"/>
      <c r="D805" s="13"/>
      <c r="E805" s="13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3"/>
      <c r="B806" s="13"/>
      <c r="C806" s="13"/>
      <c r="D806" s="13"/>
      <c r="E806" s="13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3"/>
      <c r="B807" s="13"/>
      <c r="C807" s="13"/>
      <c r="D807" s="13"/>
      <c r="E807" s="13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3"/>
      <c r="B808" s="13"/>
      <c r="C808" s="13"/>
      <c r="D808" s="13"/>
      <c r="E808" s="13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3"/>
      <c r="B809" s="13"/>
      <c r="C809" s="13"/>
      <c r="D809" s="13"/>
      <c r="E809" s="13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3"/>
      <c r="B810" s="13"/>
      <c r="C810" s="13"/>
      <c r="D810" s="13"/>
      <c r="E810" s="13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3"/>
      <c r="B811" s="13"/>
      <c r="C811" s="13"/>
      <c r="D811" s="13"/>
      <c r="E811" s="13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3"/>
      <c r="B812" s="13"/>
      <c r="C812" s="13"/>
      <c r="D812" s="13"/>
      <c r="E812" s="13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3"/>
      <c r="B813" s="13"/>
      <c r="C813" s="13"/>
      <c r="D813" s="13"/>
      <c r="E813" s="13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3"/>
      <c r="B814" s="13"/>
      <c r="C814" s="13"/>
      <c r="D814" s="13"/>
      <c r="E814" s="13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3"/>
      <c r="B815" s="13"/>
      <c r="C815" s="13"/>
      <c r="D815" s="13"/>
      <c r="E815" s="13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3"/>
      <c r="B816" s="13"/>
      <c r="C816" s="13"/>
      <c r="D816" s="13"/>
      <c r="E816" s="13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3"/>
      <c r="B817" s="13"/>
      <c r="C817" s="13"/>
      <c r="D817" s="13"/>
      <c r="E817" s="13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3"/>
      <c r="B818" s="13"/>
      <c r="C818" s="13"/>
      <c r="D818" s="13"/>
      <c r="E818" s="13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3"/>
      <c r="B819" s="13"/>
      <c r="C819" s="13"/>
      <c r="D819" s="13"/>
      <c r="E819" s="13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3"/>
      <c r="B820" s="13"/>
      <c r="C820" s="13"/>
      <c r="D820" s="13"/>
      <c r="E820" s="13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3"/>
      <c r="B821" s="13"/>
      <c r="C821" s="13"/>
      <c r="D821" s="13"/>
      <c r="E821" s="13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3"/>
      <c r="B822" s="13"/>
      <c r="C822" s="13"/>
      <c r="D822" s="13"/>
      <c r="E822" s="13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3"/>
      <c r="B823" s="13"/>
      <c r="C823" s="13"/>
      <c r="D823" s="13"/>
      <c r="E823" s="13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3"/>
      <c r="B824" s="13"/>
      <c r="C824" s="13"/>
      <c r="D824" s="13"/>
      <c r="E824" s="13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3"/>
      <c r="B825" s="13"/>
      <c r="C825" s="13"/>
      <c r="D825" s="13"/>
      <c r="E825" s="13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3"/>
      <c r="B826" s="13"/>
      <c r="C826" s="13"/>
      <c r="D826" s="13"/>
      <c r="E826" s="13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3"/>
      <c r="B827" s="13"/>
      <c r="C827" s="13"/>
      <c r="D827" s="13"/>
      <c r="E827" s="13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3"/>
      <c r="B828" s="13"/>
      <c r="C828" s="13"/>
      <c r="D828" s="13"/>
      <c r="E828" s="13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3"/>
      <c r="B829" s="13"/>
      <c r="C829" s="13"/>
      <c r="D829" s="13"/>
      <c r="E829" s="13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3"/>
      <c r="B830" s="13"/>
      <c r="C830" s="13"/>
      <c r="D830" s="13"/>
      <c r="E830" s="13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3"/>
      <c r="B831" s="13"/>
      <c r="C831" s="13"/>
      <c r="D831" s="13"/>
      <c r="E831" s="13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3"/>
      <c r="B832" s="13"/>
      <c r="C832" s="13"/>
      <c r="D832" s="13"/>
      <c r="E832" s="13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3"/>
      <c r="B833" s="13"/>
      <c r="C833" s="13"/>
      <c r="D833" s="13"/>
      <c r="E833" s="13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3"/>
      <c r="B834" s="13"/>
      <c r="C834" s="13"/>
      <c r="D834" s="13"/>
      <c r="E834" s="13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3"/>
      <c r="B835" s="13"/>
      <c r="C835" s="13"/>
      <c r="D835" s="13"/>
      <c r="E835" s="13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3"/>
      <c r="B836" s="13"/>
      <c r="C836" s="13"/>
      <c r="D836" s="13"/>
      <c r="E836" s="13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3"/>
      <c r="B837" s="13"/>
      <c r="C837" s="13"/>
      <c r="D837" s="13"/>
      <c r="E837" s="13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3"/>
      <c r="B838" s="13"/>
      <c r="C838" s="13"/>
      <c r="D838" s="13"/>
      <c r="E838" s="13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3"/>
      <c r="B839" s="13"/>
      <c r="C839" s="13"/>
      <c r="D839" s="13"/>
      <c r="E839" s="13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3"/>
      <c r="B840" s="13"/>
      <c r="C840" s="13"/>
      <c r="D840" s="13"/>
      <c r="E840" s="13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3"/>
      <c r="B841" s="13"/>
      <c r="C841" s="13"/>
      <c r="D841" s="13"/>
      <c r="E841" s="13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3"/>
      <c r="B842" s="13"/>
      <c r="C842" s="13"/>
      <c r="D842" s="13"/>
      <c r="E842" s="13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3"/>
      <c r="B843" s="13"/>
      <c r="C843" s="13"/>
      <c r="D843" s="13"/>
      <c r="E843" s="13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3"/>
      <c r="B844" s="13"/>
      <c r="C844" s="13"/>
      <c r="D844" s="13"/>
      <c r="E844" s="13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3"/>
      <c r="B845" s="13"/>
      <c r="C845" s="13"/>
      <c r="D845" s="13"/>
      <c r="E845" s="13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3"/>
      <c r="B846" s="13"/>
      <c r="C846" s="13"/>
      <c r="D846" s="13"/>
      <c r="E846" s="13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3"/>
      <c r="B847" s="13"/>
      <c r="C847" s="13"/>
      <c r="D847" s="13"/>
      <c r="E847" s="13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3"/>
      <c r="B848" s="13"/>
      <c r="C848" s="13"/>
      <c r="D848" s="13"/>
      <c r="E848" s="13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3"/>
      <c r="B849" s="13"/>
      <c r="C849" s="13"/>
      <c r="D849" s="13"/>
      <c r="E849" s="13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3"/>
      <c r="B850" s="13"/>
      <c r="C850" s="13"/>
      <c r="D850" s="13"/>
      <c r="E850" s="13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3"/>
      <c r="B851" s="13"/>
      <c r="C851" s="13"/>
      <c r="D851" s="13"/>
      <c r="E851" s="13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3"/>
      <c r="B852" s="13"/>
      <c r="C852" s="13"/>
      <c r="D852" s="13"/>
      <c r="E852" s="13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3"/>
      <c r="B853" s="13"/>
      <c r="C853" s="13"/>
      <c r="D853" s="13"/>
      <c r="E853" s="13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3"/>
      <c r="B854" s="13"/>
      <c r="C854" s="13"/>
      <c r="D854" s="13"/>
      <c r="E854" s="13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3"/>
      <c r="B855" s="13"/>
      <c r="C855" s="13"/>
      <c r="D855" s="13"/>
      <c r="E855" s="13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3"/>
      <c r="B856" s="13"/>
      <c r="C856" s="13"/>
      <c r="D856" s="13"/>
      <c r="E856" s="13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3"/>
      <c r="B857" s="13"/>
      <c r="C857" s="13"/>
      <c r="D857" s="13"/>
      <c r="E857" s="13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3"/>
      <c r="B858" s="13"/>
      <c r="C858" s="13"/>
      <c r="D858" s="13"/>
      <c r="E858" s="13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3"/>
      <c r="B859" s="13"/>
      <c r="C859" s="13"/>
      <c r="D859" s="13"/>
      <c r="E859" s="13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3"/>
      <c r="B860" s="13"/>
      <c r="C860" s="13"/>
      <c r="D860" s="13"/>
      <c r="E860" s="13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3"/>
      <c r="B861" s="13"/>
      <c r="C861" s="13"/>
      <c r="D861" s="13"/>
      <c r="E861" s="13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3"/>
      <c r="B862" s="13"/>
      <c r="C862" s="13"/>
      <c r="D862" s="13"/>
      <c r="E862" s="13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3"/>
      <c r="B863" s="13"/>
      <c r="C863" s="13"/>
      <c r="D863" s="13"/>
      <c r="E863" s="13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3"/>
      <c r="B864" s="13"/>
      <c r="C864" s="13"/>
      <c r="D864" s="13"/>
      <c r="E864" s="13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3"/>
      <c r="B865" s="13"/>
      <c r="C865" s="13"/>
      <c r="D865" s="13"/>
      <c r="E865" s="13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3"/>
      <c r="B866" s="13"/>
      <c r="C866" s="13"/>
      <c r="D866" s="13"/>
      <c r="E866" s="13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3"/>
      <c r="B867" s="13"/>
      <c r="C867" s="13"/>
      <c r="D867" s="13"/>
      <c r="E867" s="13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3"/>
      <c r="B868" s="13"/>
      <c r="C868" s="13"/>
      <c r="D868" s="13"/>
      <c r="E868" s="13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3"/>
      <c r="B869" s="13"/>
      <c r="C869" s="13"/>
      <c r="D869" s="13"/>
      <c r="E869" s="13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3"/>
      <c r="B870" s="13"/>
      <c r="C870" s="13"/>
      <c r="D870" s="13"/>
      <c r="E870" s="13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3"/>
      <c r="B871" s="13"/>
      <c r="C871" s="13"/>
      <c r="D871" s="13"/>
      <c r="E871" s="13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3"/>
      <c r="B872" s="13"/>
      <c r="C872" s="13"/>
      <c r="D872" s="13"/>
      <c r="E872" s="13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3"/>
      <c r="B873" s="13"/>
      <c r="C873" s="13"/>
      <c r="D873" s="13"/>
      <c r="E873" s="13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3"/>
      <c r="B874" s="13"/>
      <c r="C874" s="13"/>
      <c r="D874" s="13"/>
      <c r="E874" s="13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3"/>
      <c r="B875" s="13"/>
      <c r="C875" s="13"/>
      <c r="D875" s="13"/>
      <c r="E875" s="13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3"/>
      <c r="B876" s="13"/>
      <c r="C876" s="13"/>
      <c r="D876" s="13"/>
      <c r="E876" s="13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3"/>
      <c r="B877" s="13"/>
      <c r="C877" s="13"/>
      <c r="D877" s="13"/>
      <c r="E877" s="13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3"/>
      <c r="B878" s="13"/>
      <c r="C878" s="13"/>
      <c r="D878" s="13"/>
      <c r="E878" s="13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3"/>
      <c r="B879" s="13"/>
      <c r="C879" s="13"/>
      <c r="D879" s="13"/>
      <c r="E879" s="13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3"/>
      <c r="B880" s="13"/>
      <c r="C880" s="13"/>
      <c r="D880" s="13"/>
      <c r="E880" s="13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3"/>
      <c r="B881" s="13"/>
      <c r="C881" s="13"/>
      <c r="D881" s="13"/>
      <c r="E881" s="13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3"/>
      <c r="B882" s="13"/>
      <c r="C882" s="13"/>
      <c r="D882" s="13"/>
      <c r="E882" s="13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3"/>
      <c r="B883" s="13"/>
      <c r="C883" s="13"/>
      <c r="D883" s="13"/>
      <c r="E883" s="13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3"/>
      <c r="B884" s="13"/>
      <c r="C884" s="13"/>
      <c r="D884" s="13"/>
      <c r="E884" s="13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3"/>
      <c r="B885" s="13"/>
      <c r="C885" s="13"/>
      <c r="D885" s="13"/>
      <c r="E885" s="13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3"/>
      <c r="B886" s="13"/>
      <c r="C886" s="13"/>
      <c r="D886" s="13"/>
      <c r="E886" s="13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3"/>
      <c r="B887" s="13"/>
      <c r="C887" s="13"/>
      <c r="D887" s="13"/>
      <c r="E887" s="13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3"/>
      <c r="B888" s="13"/>
      <c r="C888" s="13"/>
      <c r="D888" s="13"/>
      <c r="E888" s="13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3"/>
      <c r="B889" s="13"/>
      <c r="C889" s="13"/>
      <c r="D889" s="13"/>
      <c r="E889" s="13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3"/>
      <c r="B890" s="13"/>
      <c r="C890" s="13"/>
      <c r="D890" s="13"/>
      <c r="E890" s="13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3"/>
      <c r="B891" s="13"/>
      <c r="C891" s="13"/>
      <c r="D891" s="13"/>
      <c r="E891" s="13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3"/>
      <c r="B892" s="13"/>
      <c r="C892" s="13"/>
      <c r="D892" s="13"/>
      <c r="E892" s="13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3"/>
      <c r="B893" s="13"/>
      <c r="C893" s="13"/>
      <c r="D893" s="13"/>
      <c r="E893" s="13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3"/>
      <c r="B894" s="13"/>
      <c r="C894" s="13"/>
      <c r="D894" s="13"/>
      <c r="E894" s="13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3"/>
      <c r="B895" s="13"/>
      <c r="C895" s="13"/>
      <c r="D895" s="13"/>
      <c r="E895" s="13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3"/>
      <c r="B896" s="13"/>
      <c r="C896" s="13"/>
      <c r="D896" s="13"/>
      <c r="E896" s="13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3"/>
      <c r="B897" s="13"/>
      <c r="C897" s="13"/>
      <c r="D897" s="13"/>
      <c r="E897" s="13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3"/>
      <c r="B898" s="13"/>
      <c r="C898" s="13"/>
      <c r="D898" s="13"/>
      <c r="E898" s="13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3"/>
      <c r="B899" s="13"/>
      <c r="C899" s="13"/>
      <c r="D899" s="13"/>
      <c r="E899" s="13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3"/>
      <c r="B900" s="13"/>
      <c r="C900" s="13"/>
      <c r="D900" s="13"/>
      <c r="E900" s="13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3"/>
      <c r="B901" s="13"/>
      <c r="C901" s="13"/>
      <c r="D901" s="13"/>
      <c r="E901" s="13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3"/>
      <c r="B902" s="13"/>
      <c r="C902" s="13"/>
      <c r="D902" s="13"/>
      <c r="E902" s="13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3"/>
      <c r="B903" s="13"/>
      <c r="C903" s="13"/>
      <c r="D903" s="13"/>
      <c r="E903" s="13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3"/>
      <c r="B904" s="13"/>
      <c r="C904" s="13"/>
      <c r="D904" s="13"/>
      <c r="E904" s="13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3"/>
      <c r="B905" s="13"/>
      <c r="C905" s="13"/>
      <c r="D905" s="13"/>
      <c r="E905" s="13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3"/>
      <c r="B906" s="13"/>
      <c r="C906" s="13"/>
      <c r="D906" s="13"/>
      <c r="E906" s="13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3"/>
      <c r="B907" s="13"/>
      <c r="C907" s="13"/>
      <c r="D907" s="13"/>
      <c r="E907" s="13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3"/>
      <c r="B908" s="13"/>
      <c r="C908" s="13"/>
      <c r="D908" s="13"/>
      <c r="E908" s="13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3"/>
      <c r="B909" s="13"/>
      <c r="C909" s="13"/>
      <c r="D909" s="13"/>
      <c r="E909" s="13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3"/>
      <c r="B910" s="13"/>
      <c r="C910" s="13"/>
      <c r="D910" s="13"/>
      <c r="E910" s="13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3"/>
      <c r="B911" s="13"/>
      <c r="C911" s="13"/>
      <c r="D911" s="13"/>
      <c r="E911" s="13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3"/>
      <c r="B912" s="13"/>
      <c r="C912" s="13"/>
      <c r="D912" s="13"/>
      <c r="E912" s="13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3"/>
      <c r="B913" s="13"/>
      <c r="C913" s="13"/>
      <c r="D913" s="13"/>
      <c r="E913" s="13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3"/>
      <c r="B914" s="13"/>
      <c r="C914" s="13"/>
      <c r="D914" s="13"/>
      <c r="E914" s="13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3"/>
      <c r="B915" s="13"/>
      <c r="C915" s="13"/>
      <c r="D915" s="13"/>
      <c r="E915" s="13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3"/>
      <c r="B916" s="13"/>
      <c r="C916" s="13"/>
      <c r="D916" s="13"/>
      <c r="E916" s="13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3"/>
      <c r="B917" s="13"/>
      <c r="C917" s="13"/>
      <c r="D917" s="13"/>
      <c r="E917" s="13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3"/>
      <c r="B918" s="13"/>
      <c r="C918" s="13"/>
      <c r="D918" s="13"/>
      <c r="E918" s="13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3"/>
      <c r="B919" s="13"/>
      <c r="C919" s="13"/>
      <c r="D919" s="13"/>
      <c r="E919" s="13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3"/>
      <c r="B920" s="13"/>
      <c r="C920" s="13"/>
      <c r="D920" s="13"/>
      <c r="E920" s="13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3"/>
      <c r="B921" s="13"/>
      <c r="C921" s="13"/>
      <c r="D921" s="13"/>
      <c r="E921" s="13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3"/>
      <c r="B922" s="13"/>
      <c r="C922" s="13"/>
      <c r="D922" s="13"/>
      <c r="E922" s="13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3"/>
      <c r="B923" s="13"/>
      <c r="C923" s="13"/>
      <c r="D923" s="13"/>
      <c r="E923" s="13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3"/>
      <c r="B924" s="13"/>
      <c r="C924" s="13"/>
      <c r="D924" s="13"/>
      <c r="E924" s="13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3"/>
      <c r="B925" s="13"/>
      <c r="C925" s="13"/>
      <c r="D925" s="13"/>
      <c r="E925" s="13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3"/>
      <c r="B926" s="13"/>
      <c r="C926" s="13"/>
      <c r="D926" s="13"/>
      <c r="E926" s="13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3"/>
      <c r="B927" s="13"/>
      <c r="C927" s="13"/>
      <c r="D927" s="13"/>
      <c r="E927" s="13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3"/>
      <c r="B928" s="13"/>
      <c r="C928" s="13"/>
      <c r="D928" s="13"/>
      <c r="E928" s="13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3"/>
      <c r="B929" s="13"/>
      <c r="C929" s="13"/>
      <c r="D929" s="13"/>
      <c r="E929" s="13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3"/>
      <c r="B930" s="13"/>
      <c r="C930" s="13"/>
      <c r="D930" s="13"/>
      <c r="E930" s="13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3"/>
      <c r="B931" s="13"/>
      <c r="C931" s="13"/>
      <c r="D931" s="13"/>
      <c r="E931" s="13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3"/>
      <c r="B932" s="13"/>
      <c r="C932" s="13"/>
      <c r="D932" s="13"/>
      <c r="E932" s="13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3"/>
      <c r="B933" s="13"/>
      <c r="C933" s="13"/>
      <c r="D933" s="13"/>
      <c r="E933" s="13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3"/>
      <c r="B934" s="13"/>
      <c r="C934" s="13"/>
      <c r="D934" s="13"/>
      <c r="E934" s="13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3"/>
      <c r="B935" s="13"/>
      <c r="C935" s="13"/>
      <c r="D935" s="13"/>
      <c r="E935" s="13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3"/>
      <c r="B936" s="13"/>
      <c r="C936" s="13"/>
      <c r="D936" s="13"/>
      <c r="E936" s="13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3"/>
      <c r="B937" s="13"/>
      <c r="C937" s="13"/>
      <c r="D937" s="13"/>
      <c r="E937" s="13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3"/>
      <c r="B938" s="13"/>
      <c r="C938" s="13"/>
      <c r="D938" s="13"/>
      <c r="E938" s="13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3"/>
      <c r="B939" s="13"/>
      <c r="C939" s="13"/>
      <c r="D939" s="13"/>
      <c r="E939" s="13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3"/>
      <c r="B940" s="13"/>
      <c r="C940" s="13"/>
      <c r="D940" s="13"/>
      <c r="E940" s="13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3"/>
      <c r="B941" s="13"/>
      <c r="C941" s="13"/>
      <c r="D941" s="13"/>
      <c r="E941" s="13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3"/>
      <c r="B942" s="13"/>
      <c r="C942" s="13"/>
      <c r="D942" s="13"/>
      <c r="E942" s="13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3"/>
      <c r="B943" s="13"/>
      <c r="C943" s="13"/>
      <c r="D943" s="13"/>
      <c r="E943" s="13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3"/>
      <c r="B944" s="13"/>
      <c r="C944" s="13"/>
      <c r="D944" s="13"/>
      <c r="E944" s="13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3"/>
      <c r="B945" s="13"/>
      <c r="C945" s="13"/>
      <c r="D945" s="13"/>
      <c r="E945" s="13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3"/>
      <c r="B946" s="13"/>
      <c r="C946" s="13"/>
      <c r="D946" s="13"/>
      <c r="E946" s="13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3"/>
      <c r="B947" s="13"/>
      <c r="C947" s="13"/>
      <c r="D947" s="13"/>
      <c r="E947" s="13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3"/>
      <c r="B948" s="13"/>
      <c r="C948" s="13"/>
      <c r="D948" s="13"/>
      <c r="E948" s="13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3"/>
      <c r="B949" s="13"/>
      <c r="C949" s="13"/>
      <c r="D949" s="13"/>
      <c r="E949" s="13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3"/>
      <c r="B950" s="13"/>
      <c r="C950" s="13"/>
      <c r="D950" s="13"/>
      <c r="E950" s="13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3"/>
      <c r="B951" s="13"/>
      <c r="C951" s="13"/>
      <c r="D951" s="13"/>
      <c r="E951" s="13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3"/>
      <c r="B952" s="13"/>
      <c r="C952" s="13"/>
      <c r="D952" s="13"/>
      <c r="E952" s="13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3"/>
      <c r="B953" s="13"/>
      <c r="C953" s="13"/>
      <c r="D953" s="13"/>
      <c r="E953" s="13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3"/>
      <c r="B954" s="13"/>
      <c r="C954" s="13"/>
      <c r="D954" s="13"/>
      <c r="E954" s="13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3"/>
      <c r="B955" s="13"/>
      <c r="C955" s="13"/>
      <c r="D955" s="13"/>
      <c r="E955" s="13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3"/>
      <c r="B956" s="13"/>
      <c r="C956" s="13"/>
      <c r="D956" s="13"/>
      <c r="E956" s="13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3"/>
      <c r="B957" s="13"/>
      <c r="C957" s="13"/>
      <c r="D957" s="13"/>
      <c r="E957" s="13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3"/>
      <c r="B958" s="13"/>
      <c r="C958" s="13"/>
      <c r="D958" s="13"/>
      <c r="E958" s="13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3"/>
      <c r="B959" s="13"/>
      <c r="C959" s="13"/>
      <c r="D959" s="13"/>
      <c r="E959" s="13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3"/>
      <c r="B960" s="13"/>
      <c r="C960" s="13"/>
      <c r="D960" s="13"/>
      <c r="E960" s="13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3"/>
      <c r="B961" s="13"/>
      <c r="C961" s="13"/>
      <c r="D961" s="13"/>
      <c r="E961" s="13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3"/>
      <c r="B962" s="13"/>
      <c r="C962" s="13"/>
      <c r="D962" s="13"/>
      <c r="E962" s="13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3"/>
      <c r="B963" s="13"/>
      <c r="C963" s="13"/>
      <c r="D963" s="13"/>
      <c r="E963" s="13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3"/>
      <c r="B964" s="13"/>
      <c r="C964" s="13"/>
      <c r="D964" s="13"/>
      <c r="E964" s="13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3"/>
      <c r="B965" s="13"/>
      <c r="C965" s="13"/>
      <c r="D965" s="13"/>
      <c r="E965" s="13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3"/>
      <c r="B966" s="13"/>
      <c r="C966" s="13"/>
      <c r="D966" s="13"/>
      <c r="E966" s="13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3"/>
      <c r="B967" s="13"/>
      <c r="C967" s="13"/>
      <c r="D967" s="13"/>
      <c r="E967" s="13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3"/>
      <c r="B968" s="13"/>
      <c r="C968" s="13"/>
      <c r="D968" s="13"/>
      <c r="E968" s="13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3"/>
      <c r="B969" s="13"/>
      <c r="C969" s="13"/>
      <c r="D969" s="13"/>
      <c r="E969" s="13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3"/>
      <c r="B970" s="13"/>
      <c r="C970" s="13"/>
      <c r="D970" s="13"/>
      <c r="E970" s="13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3"/>
      <c r="B971" s="13"/>
      <c r="C971" s="13"/>
      <c r="D971" s="13"/>
      <c r="E971" s="13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3"/>
      <c r="B972" s="13"/>
      <c r="C972" s="13"/>
      <c r="D972" s="13"/>
      <c r="E972" s="13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3"/>
      <c r="B973" s="13"/>
      <c r="C973" s="13"/>
      <c r="D973" s="13"/>
      <c r="E973" s="13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3"/>
      <c r="B974" s="13"/>
      <c r="C974" s="13"/>
      <c r="D974" s="13"/>
      <c r="E974" s="13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3"/>
      <c r="B975" s="13"/>
      <c r="C975" s="13"/>
      <c r="D975" s="13"/>
      <c r="E975" s="13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3"/>
      <c r="B976" s="13"/>
      <c r="C976" s="13"/>
      <c r="D976" s="13"/>
      <c r="E976" s="13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3"/>
      <c r="B977" s="13"/>
      <c r="C977" s="13"/>
      <c r="D977" s="13"/>
      <c r="E977" s="13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3"/>
      <c r="B978" s="13"/>
      <c r="C978" s="13"/>
      <c r="D978" s="13"/>
      <c r="E978" s="13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3"/>
      <c r="B979" s="13"/>
      <c r="C979" s="13"/>
      <c r="D979" s="13"/>
      <c r="E979" s="13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3"/>
      <c r="B980" s="13"/>
      <c r="C980" s="13"/>
      <c r="D980" s="13"/>
      <c r="E980" s="13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3"/>
      <c r="B981" s="13"/>
      <c r="C981" s="13"/>
      <c r="D981" s="13"/>
      <c r="E981" s="13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3"/>
      <c r="B982" s="13"/>
      <c r="C982" s="13"/>
      <c r="D982" s="13"/>
      <c r="E982" s="13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3"/>
      <c r="B983" s="13"/>
      <c r="C983" s="13"/>
      <c r="D983" s="13"/>
      <c r="E983" s="13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3"/>
      <c r="B984" s="13"/>
      <c r="C984" s="13"/>
      <c r="D984" s="13"/>
      <c r="E984" s="13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3"/>
      <c r="B985" s="13"/>
      <c r="C985" s="13"/>
      <c r="D985" s="13"/>
      <c r="E985" s="13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3"/>
      <c r="B986" s="13"/>
      <c r="C986" s="13"/>
      <c r="D986" s="13"/>
      <c r="E986" s="13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3"/>
      <c r="B987" s="13"/>
      <c r="C987" s="13"/>
      <c r="D987" s="13"/>
      <c r="E987" s="13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3"/>
      <c r="B988" s="13"/>
      <c r="C988" s="13"/>
      <c r="D988" s="13"/>
      <c r="E988" s="13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3"/>
      <c r="B989" s="13"/>
      <c r="C989" s="13"/>
      <c r="D989" s="13"/>
      <c r="E989" s="13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3"/>
      <c r="B990" s="13"/>
      <c r="C990" s="13"/>
      <c r="D990" s="13"/>
      <c r="E990" s="13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3"/>
      <c r="B991" s="13"/>
      <c r="C991" s="13"/>
      <c r="D991" s="13"/>
      <c r="E991" s="13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3"/>
      <c r="B992" s="13"/>
      <c r="C992" s="13"/>
      <c r="D992" s="13"/>
      <c r="E992" s="13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3"/>
      <c r="B993" s="13"/>
      <c r="C993" s="13"/>
      <c r="D993" s="13"/>
      <c r="E993" s="13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3"/>
      <c r="B994" s="13"/>
      <c r="C994" s="13"/>
      <c r="D994" s="13"/>
      <c r="E994" s="13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3"/>
      <c r="B995" s="13"/>
      <c r="C995" s="13"/>
      <c r="D995" s="13"/>
      <c r="E995" s="13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3"/>
      <c r="B996" s="13"/>
      <c r="C996" s="13"/>
      <c r="D996" s="13"/>
      <c r="E996" s="13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3"/>
      <c r="B997" s="13"/>
      <c r="C997" s="13"/>
      <c r="D997" s="13"/>
      <c r="E997" s="13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3"/>
      <c r="B998" s="13"/>
      <c r="C998" s="13"/>
      <c r="D998" s="13"/>
      <c r="E998" s="13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3"/>
      <c r="B999" s="13"/>
      <c r="C999" s="13"/>
      <c r="D999" s="13"/>
      <c r="E999" s="13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3"/>
      <c r="B1000" s="13"/>
      <c r="C1000" s="13"/>
      <c r="D1000" s="13"/>
      <c r="E1000" s="13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</cols>
  <sheetData>
    <row r="1">
      <c r="A1" s="27" t="s">
        <v>188</v>
      </c>
      <c r="B1" s="27" t="s">
        <v>191</v>
      </c>
      <c r="C1" s="17"/>
      <c r="D1" s="27" t="s">
        <v>192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8" t="s">
        <v>195</v>
      </c>
      <c r="B2" s="28">
        <v>1.0</v>
      </c>
      <c r="C2" s="29">
        <f t="shared" ref="C2:C19" si="1">B2*5</f>
        <v>5</v>
      </c>
      <c r="D2" s="28">
        <f t="shared" ref="D2:D19" si="2">B2*13</f>
        <v>13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8" t="s">
        <v>202</v>
      </c>
      <c r="B3" s="28">
        <v>3.0</v>
      </c>
      <c r="C3" s="29">
        <f t="shared" si="1"/>
        <v>15</v>
      </c>
      <c r="D3" s="28">
        <f t="shared" si="2"/>
        <v>39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8" t="s">
        <v>205</v>
      </c>
      <c r="B4" s="28">
        <v>1.0</v>
      </c>
      <c r="C4" s="29">
        <f t="shared" si="1"/>
        <v>5</v>
      </c>
      <c r="D4" s="28">
        <f t="shared" si="2"/>
        <v>13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8" t="s">
        <v>209</v>
      </c>
      <c r="B5" s="28">
        <v>1.0</v>
      </c>
      <c r="C5" s="29">
        <f t="shared" si="1"/>
        <v>5</v>
      </c>
      <c r="D5" s="28">
        <f t="shared" si="2"/>
        <v>13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8" t="s">
        <v>215</v>
      </c>
      <c r="B6" s="28">
        <v>1.0</v>
      </c>
      <c r="C6" s="29">
        <f t="shared" si="1"/>
        <v>5</v>
      </c>
      <c r="D6" s="28">
        <f t="shared" si="2"/>
        <v>13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8" t="s">
        <v>220</v>
      </c>
      <c r="B7" s="28">
        <v>2.0</v>
      </c>
      <c r="C7" s="29">
        <f t="shared" si="1"/>
        <v>10</v>
      </c>
      <c r="D7" s="28">
        <f t="shared" si="2"/>
        <v>26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8" t="s">
        <v>225</v>
      </c>
      <c r="B8" s="28">
        <v>2.0</v>
      </c>
      <c r="C8" s="29">
        <f t="shared" si="1"/>
        <v>10</v>
      </c>
      <c r="D8" s="28">
        <f t="shared" si="2"/>
        <v>26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8" t="s">
        <v>229</v>
      </c>
      <c r="B9" s="28">
        <v>1.0</v>
      </c>
      <c r="C9" s="29">
        <f t="shared" si="1"/>
        <v>5</v>
      </c>
      <c r="D9" s="28">
        <f t="shared" si="2"/>
        <v>13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8" t="s">
        <v>233</v>
      </c>
      <c r="B10" s="28">
        <v>1.0</v>
      </c>
      <c r="C10" s="29">
        <f t="shared" si="1"/>
        <v>5</v>
      </c>
      <c r="D10" s="28">
        <f t="shared" si="2"/>
        <v>13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8" t="s">
        <v>237</v>
      </c>
      <c r="B11" s="28">
        <v>1.0</v>
      </c>
      <c r="C11" s="29">
        <f t="shared" si="1"/>
        <v>5</v>
      </c>
      <c r="D11" s="28">
        <f t="shared" si="2"/>
        <v>13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8" t="s">
        <v>240</v>
      </c>
      <c r="B12" s="28">
        <v>1.0</v>
      </c>
      <c r="C12" s="29">
        <f t="shared" si="1"/>
        <v>5</v>
      </c>
      <c r="D12" s="28">
        <f t="shared" si="2"/>
        <v>13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8" t="s">
        <v>242</v>
      </c>
      <c r="B13" s="28">
        <v>1.0</v>
      </c>
      <c r="C13" s="29">
        <f t="shared" si="1"/>
        <v>5</v>
      </c>
      <c r="D13" s="28">
        <f t="shared" si="2"/>
        <v>13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8" t="s">
        <v>246</v>
      </c>
      <c r="B14" s="28">
        <v>1.0</v>
      </c>
      <c r="C14" s="29">
        <f t="shared" si="1"/>
        <v>5</v>
      </c>
      <c r="D14" s="28">
        <f t="shared" si="2"/>
        <v>13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8" t="s">
        <v>236</v>
      </c>
      <c r="B15" s="28">
        <v>2.0</v>
      </c>
      <c r="C15" s="29">
        <f t="shared" si="1"/>
        <v>10</v>
      </c>
      <c r="D15" s="28">
        <f t="shared" si="2"/>
        <v>26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8" t="s">
        <v>253</v>
      </c>
      <c r="B16" s="28">
        <v>2.0</v>
      </c>
      <c r="C16" s="29">
        <f t="shared" si="1"/>
        <v>10</v>
      </c>
      <c r="D16" s="28">
        <f t="shared" si="2"/>
        <v>26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8" t="s">
        <v>256</v>
      </c>
      <c r="B17" s="28">
        <v>2.0</v>
      </c>
      <c r="C17" s="29">
        <f t="shared" si="1"/>
        <v>10</v>
      </c>
      <c r="D17" s="28">
        <f t="shared" si="2"/>
        <v>26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8" t="s">
        <v>259</v>
      </c>
      <c r="B18" s="28">
        <v>1.0</v>
      </c>
      <c r="C18" s="29">
        <f t="shared" si="1"/>
        <v>5</v>
      </c>
      <c r="D18" s="28">
        <f t="shared" si="2"/>
        <v>13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7" t="s">
        <v>262</v>
      </c>
      <c r="B19" s="27">
        <v>1.0</v>
      </c>
      <c r="C19" s="17">
        <f t="shared" si="1"/>
        <v>5</v>
      </c>
      <c r="D19" s="27">
        <f t="shared" si="2"/>
        <v>13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4.0"/>
    <col customWidth="1" min="3" max="3" width="58.0"/>
    <col customWidth="1" min="4" max="4" width="24.0"/>
    <col customWidth="1" min="5" max="5" width="12.0"/>
    <col customWidth="1" min="6" max="6" width="24.0"/>
    <col customWidth="1" min="7" max="26" width="8.63"/>
  </cols>
  <sheetData>
    <row r="1">
      <c r="A1" s="61" t="s">
        <v>1115</v>
      </c>
      <c r="B1" s="61" t="s">
        <v>1116</v>
      </c>
      <c r="C1" s="61" t="s">
        <v>4</v>
      </c>
      <c r="D1" s="61" t="s">
        <v>1117</v>
      </c>
      <c r="E1" s="61" t="s">
        <v>1118</v>
      </c>
      <c r="F1" s="61" t="s">
        <v>1119</v>
      </c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3" t="s">
        <v>1120</v>
      </c>
      <c r="B2" s="63" t="s">
        <v>1121</v>
      </c>
      <c r="C2" s="63" t="s">
        <v>912</v>
      </c>
      <c r="D2" s="63" t="s">
        <v>1122</v>
      </c>
      <c r="E2" s="63">
        <v>396.0</v>
      </c>
      <c r="F2" s="63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63" t="s">
        <v>1120</v>
      </c>
      <c r="B3" s="63" t="s">
        <v>1123</v>
      </c>
      <c r="C3" s="63" t="s">
        <v>199</v>
      </c>
      <c r="D3" s="63" t="s">
        <v>1124</v>
      </c>
      <c r="E3" s="63">
        <v>56.0</v>
      </c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3" t="s">
        <v>1120</v>
      </c>
      <c r="B4" s="63" t="s">
        <v>1125</v>
      </c>
      <c r="C4" s="63" t="s">
        <v>1062</v>
      </c>
      <c r="D4" s="63" t="s">
        <v>1126</v>
      </c>
      <c r="E4" s="63">
        <v>471.0</v>
      </c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3" t="s">
        <v>1120</v>
      </c>
      <c r="B5" s="63" t="s">
        <v>1125</v>
      </c>
      <c r="C5" s="63" t="s">
        <v>1064</v>
      </c>
      <c r="D5" s="63" t="s">
        <v>1127</v>
      </c>
      <c r="E5" s="63">
        <v>472.0</v>
      </c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3" t="s">
        <v>1120</v>
      </c>
      <c r="B6" s="63" t="s">
        <v>1125</v>
      </c>
      <c r="C6" s="63" t="s">
        <v>1086</v>
      </c>
      <c r="D6" s="63" t="s">
        <v>1128</v>
      </c>
      <c r="E6" s="63">
        <v>483.0</v>
      </c>
      <c r="F6" s="63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3" t="s">
        <v>1120</v>
      </c>
      <c r="B7" s="63" t="s">
        <v>1125</v>
      </c>
      <c r="C7" s="63" t="s">
        <v>1050</v>
      </c>
      <c r="D7" s="63" t="s">
        <v>1129</v>
      </c>
      <c r="E7" s="63">
        <v>465.0</v>
      </c>
      <c r="F7" s="63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3" t="s">
        <v>1120</v>
      </c>
      <c r="B8" s="63" t="s">
        <v>1125</v>
      </c>
      <c r="C8" s="63" t="s">
        <v>1028</v>
      </c>
      <c r="D8" s="63" t="s">
        <v>1130</v>
      </c>
      <c r="E8" s="63">
        <v>454.0</v>
      </c>
      <c r="F8" s="63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3" t="s">
        <v>1120</v>
      </c>
      <c r="B9" s="63" t="s">
        <v>1125</v>
      </c>
      <c r="C9" s="63" t="s">
        <v>1022</v>
      </c>
      <c r="D9" s="63" t="s">
        <v>1131</v>
      </c>
      <c r="E9" s="63">
        <v>451.0</v>
      </c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3" t="s">
        <v>1120</v>
      </c>
      <c r="B10" s="63" t="s">
        <v>1125</v>
      </c>
      <c r="C10" s="63" t="s">
        <v>1024</v>
      </c>
      <c r="D10" s="63" t="s">
        <v>1132</v>
      </c>
      <c r="E10" s="63">
        <v>452.0</v>
      </c>
      <c r="F10" s="63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3" t="s">
        <v>1120</v>
      </c>
      <c r="B11" s="63" t="s">
        <v>1125</v>
      </c>
      <c r="C11" s="63" t="s">
        <v>1020</v>
      </c>
      <c r="D11" s="63" t="s">
        <v>1133</v>
      </c>
      <c r="E11" s="63">
        <v>450.0</v>
      </c>
      <c r="F11" s="63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3" t="s">
        <v>1120</v>
      </c>
      <c r="B12" s="63" t="s">
        <v>1125</v>
      </c>
      <c r="C12" s="63" t="s">
        <v>1026</v>
      </c>
      <c r="D12" s="63" t="s">
        <v>1134</v>
      </c>
      <c r="E12" s="63">
        <v>453.0</v>
      </c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63" t="s">
        <v>1120</v>
      </c>
      <c r="B13" s="63" t="s">
        <v>1125</v>
      </c>
      <c r="C13" s="63" t="s">
        <v>1030</v>
      </c>
      <c r="D13" s="63" t="s">
        <v>1135</v>
      </c>
      <c r="E13" s="63">
        <v>455.0</v>
      </c>
      <c r="F13" s="63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3" t="s">
        <v>1120</v>
      </c>
      <c r="B14" s="63" t="s">
        <v>1125</v>
      </c>
      <c r="C14" s="63" t="s">
        <v>1032</v>
      </c>
      <c r="D14" s="63" t="s">
        <v>1136</v>
      </c>
      <c r="E14" s="63">
        <v>456.0</v>
      </c>
      <c r="F14" s="63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3" t="s">
        <v>1120</v>
      </c>
      <c r="B15" s="63" t="s">
        <v>1125</v>
      </c>
      <c r="C15" s="63" t="s">
        <v>1048</v>
      </c>
      <c r="D15" s="63" t="s">
        <v>1137</v>
      </c>
      <c r="E15" s="63">
        <v>464.0</v>
      </c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3" t="s">
        <v>1120</v>
      </c>
      <c r="B16" s="63" t="s">
        <v>1125</v>
      </c>
      <c r="C16" s="63" t="s">
        <v>1042</v>
      </c>
      <c r="D16" s="63" t="s">
        <v>1138</v>
      </c>
      <c r="E16" s="63">
        <v>461.0</v>
      </c>
      <c r="F16" s="63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3" t="s">
        <v>1120</v>
      </c>
      <c r="B17" s="63" t="s">
        <v>1125</v>
      </c>
      <c r="C17" s="63" t="s">
        <v>1040</v>
      </c>
      <c r="D17" s="63" t="s">
        <v>1139</v>
      </c>
      <c r="E17" s="63">
        <v>460.0</v>
      </c>
      <c r="F17" s="63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3" t="s">
        <v>1120</v>
      </c>
      <c r="B18" s="63" t="s">
        <v>1125</v>
      </c>
      <c r="C18" s="63" t="s">
        <v>1046</v>
      </c>
      <c r="D18" s="63" t="s">
        <v>1140</v>
      </c>
      <c r="E18" s="63">
        <v>463.0</v>
      </c>
      <c r="F18" s="63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3" t="s">
        <v>1120</v>
      </c>
      <c r="B19" s="63" t="s">
        <v>1125</v>
      </c>
      <c r="C19" s="63" t="s">
        <v>1044</v>
      </c>
      <c r="D19" s="63" t="s">
        <v>1141</v>
      </c>
      <c r="E19" s="63">
        <v>462.0</v>
      </c>
      <c r="F19" s="63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63" t="s">
        <v>1120</v>
      </c>
      <c r="B20" s="63" t="s">
        <v>1125</v>
      </c>
      <c r="C20" s="63" t="s">
        <v>1014</v>
      </c>
      <c r="D20" s="63" t="s">
        <v>1142</v>
      </c>
      <c r="E20" s="63">
        <v>447.0</v>
      </c>
      <c r="F20" s="63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63" t="s">
        <v>1120</v>
      </c>
      <c r="B21" s="63" t="s">
        <v>1125</v>
      </c>
      <c r="C21" s="63" t="s">
        <v>1034</v>
      </c>
      <c r="D21" s="63" t="s">
        <v>1143</v>
      </c>
      <c r="E21" s="63">
        <v>457.0</v>
      </c>
      <c r="F21" s="63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63" t="s">
        <v>1120</v>
      </c>
      <c r="B22" s="63" t="s">
        <v>1125</v>
      </c>
      <c r="C22" s="63" t="s">
        <v>1006</v>
      </c>
      <c r="D22" s="63" t="s">
        <v>1144</v>
      </c>
      <c r="E22" s="63">
        <v>443.0</v>
      </c>
      <c r="F22" s="63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3" t="s">
        <v>1120</v>
      </c>
      <c r="B23" s="63" t="s">
        <v>1125</v>
      </c>
      <c r="C23" s="63" t="s">
        <v>1008</v>
      </c>
      <c r="D23" s="63" t="s">
        <v>1145</v>
      </c>
      <c r="E23" s="63">
        <v>444.0</v>
      </c>
      <c r="F23" s="63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3" t="s">
        <v>1120</v>
      </c>
      <c r="B24" s="63" t="s">
        <v>1125</v>
      </c>
      <c r="C24" s="63" t="s">
        <v>1016</v>
      </c>
      <c r="D24" s="63" t="s">
        <v>1146</v>
      </c>
      <c r="E24" s="63">
        <v>448.0</v>
      </c>
      <c r="F24" s="63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3" t="s">
        <v>1120</v>
      </c>
      <c r="B25" s="63" t="s">
        <v>1125</v>
      </c>
      <c r="C25" s="63" t="s">
        <v>1010</v>
      </c>
      <c r="D25" s="63" t="s">
        <v>1147</v>
      </c>
      <c r="E25" s="63">
        <v>445.0</v>
      </c>
      <c r="F25" s="63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63" t="s">
        <v>1120</v>
      </c>
      <c r="B26" s="63" t="s">
        <v>1125</v>
      </c>
      <c r="C26" s="63" t="s">
        <v>1012</v>
      </c>
      <c r="D26" s="63" t="s">
        <v>1148</v>
      </c>
      <c r="E26" s="63">
        <v>446.0</v>
      </c>
      <c r="F26" s="63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3" t="s">
        <v>1120</v>
      </c>
      <c r="B27" s="63" t="s">
        <v>1125</v>
      </c>
      <c r="C27" s="63" t="s">
        <v>1018</v>
      </c>
      <c r="D27" s="63" t="s">
        <v>1149</v>
      </c>
      <c r="E27" s="63">
        <v>449.0</v>
      </c>
      <c r="F27" s="63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63" t="s">
        <v>1120</v>
      </c>
      <c r="B28" s="63" t="s">
        <v>1125</v>
      </c>
      <c r="C28" s="63" t="s">
        <v>1038</v>
      </c>
      <c r="D28" s="63" t="s">
        <v>1150</v>
      </c>
      <c r="E28" s="63">
        <v>459.0</v>
      </c>
      <c r="F28" s="63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63" t="s">
        <v>1120</v>
      </c>
      <c r="B29" s="63" t="s">
        <v>1125</v>
      </c>
      <c r="C29" s="63" t="s">
        <v>1036</v>
      </c>
      <c r="D29" s="63" t="s">
        <v>1151</v>
      </c>
      <c r="E29" s="63">
        <v>458.0</v>
      </c>
      <c r="F29" s="63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3" t="s">
        <v>1120</v>
      </c>
      <c r="B30" s="63" t="s">
        <v>1125</v>
      </c>
      <c r="C30" s="63" t="s">
        <v>1052</v>
      </c>
      <c r="D30" s="63" t="s">
        <v>1152</v>
      </c>
      <c r="E30" s="63">
        <v>466.0</v>
      </c>
      <c r="F30" s="63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3" t="s">
        <v>1120</v>
      </c>
      <c r="B31" s="63" t="s">
        <v>1125</v>
      </c>
      <c r="C31" s="63" t="s">
        <v>1070</v>
      </c>
      <c r="D31" s="63" t="s">
        <v>1134</v>
      </c>
      <c r="E31" s="63">
        <v>475.0</v>
      </c>
      <c r="F31" s="63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3" t="s">
        <v>1120</v>
      </c>
      <c r="B32" s="63" t="s">
        <v>1125</v>
      </c>
      <c r="C32" s="63" t="s">
        <v>1068</v>
      </c>
      <c r="D32" s="63" t="s">
        <v>1153</v>
      </c>
      <c r="E32" s="63">
        <v>474.0</v>
      </c>
      <c r="F32" s="63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3" t="s">
        <v>1120</v>
      </c>
      <c r="B33" s="63" t="s">
        <v>1125</v>
      </c>
      <c r="C33" s="63" t="s">
        <v>1066</v>
      </c>
      <c r="D33" s="63" t="s">
        <v>1154</v>
      </c>
      <c r="E33" s="63">
        <v>473.0</v>
      </c>
      <c r="F33" s="63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3" t="s">
        <v>1120</v>
      </c>
      <c r="B34" s="63" t="s">
        <v>1125</v>
      </c>
      <c r="C34" s="63" t="s">
        <v>1072</v>
      </c>
      <c r="D34" s="63" t="s">
        <v>1155</v>
      </c>
      <c r="E34" s="63">
        <v>476.0</v>
      </c>
      <c r="F34" s="63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3" t="s">
        <v>1120</v>
      </c>
      <c r="B35" s="63" t="s">
        <v>1125</v>
      </c>
      <c r="C35" s="63" t="s">
        <v>942</v>
      </c>
      <c r="D35" s="63" t="s">
        <v>1156</v>
      </c>
      <c r="E35" s="63">
        <v>411.0</v>
      </c>
      <c r="F35" s="63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3" t="s">
        <v>1120</v>
      </c>
      <c r="B36" s="63" t="s">
        <v>1125</v>
      </c>
      <c r="C36" s="63" t="s">
        <v>944</v>
      </c>
      <c r="D36" s="63" t="s">
        <v>1157</v>
      </c>
      <c r="E36" s="63">
        <v>412.0</v>
      </c>
      <c r="F36" s="63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3" t="s">
        <v>1120</v>
      </c>
      <c r="B37" s="63" t="s">
        <v>1125</v>
      </c>
      <c r="C37" s="63" t="s">
        <v>946</v>
      </c>
      <c r="D37" s="63" t="s">
        <v>1158</v>
      </c>
      <c r="E37" s="63">
        <v>413.0</v>
      </c>
      <c r="F37" s="63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3" t="s">
        <v>1120</v>
      </c>
      <c r="B38" s="63" t="s">
        <v>1125</v>
      </c>
      <c r="C38" s="63" t="s">
        <v>948</v>
      </c>
      <c r="D38" s="63" t="s">
        <v>1159</v>
      </c>
      <c r="E38" s="63">
        <v>414.0</v>
      </c>
      <c r="F38" s="63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3" t="s">
        <v>1120</v>
      </c>
      <c r="B39" s="63" t="s">
        <v>1125</v>
      </c>
      <c r="C39" s="63" t="s">
        <v>950</v>
      </c>
      <c r="D39" s="63" t="s">
        <v>1160</v>
      </c>
      <c r="E39" s="63">
        <v>415.0</v>
      </c>
      <c r="F39" s="63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3" t="s">
        <v>1120</v>
      </c>
      <c r="B40" s="63" t="s">
        <v>1125</v>
      </c>
      <c r="C40" s="63" t="s">
        <v>952</v>
      </c>
      <c r="D40" s="63" t="s">
        <v>1161</v>
      </c>
      <c r="E40" s="63">
        <v>416.0</v>
      </c>
      <c r="F40" s="63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3" t="s">
        <v>1120</v>
      </c>
      <c r="B41" s="63" t="s">
        <v>1125</v>
      </c>
      <c r="C41" s="63" t="s">
        <v>954</v>
      </c>
      <c r="D41" s="63" t="s">
        <v>1162</v>
      </c>
      <c r="E41" s="63">
        <v>417.0</v>
      </c>
      <c r="F41" s="63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3" t="s">
        <v>1120</v>
      </c>
      <c r="B42" s="63" t="s">
        <v>1125</v>
      </c>
      <c r="C42" s="63" t="s">
        <v>956</v>
      </c>
      <c r="D42" s="63" t="s">
        <v>1163</v>
      </c>
      <c r="E42" s="63">
        <v>418.0</v>
      </c>
      <c r="F42" s="63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3" t="s">
        <v>1120</v>
      </c>
      <c r="B43" s="63" t="s">
        <v>1125</v>
      </c>
      <c r="C43" s="63" t="s">
        <v>958</v>
      </c>
      <c r="D43" s="63" t="s">
        <v>1164</v>
      </c>
      <c r="E43" s="63">
        <v>419.0</v>
      </c>
      <c r="F43" s="63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3" t="s">
        <v>1120</v>
      </c>
      <c r="B44" s="63" t="s">
        <v>1125</v>
      </c>
      <c r="C44" s="63" t="s">
        <v>960</v>
      </c>
      <c r="D44" s="63" t="s">
        <v>1165</v>
      </c>
      <c r="E44" s="63">
        <v>420.0</v>
      </c>
      <c r="F44" s="63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3" t="s">
        <v>1120</v>
      </c>
      <c r="B45" s="63" t="s">
        <v>1125</v>
      </c>
      <c r="C45" s="63" t="s">
        <v>962</v>
      </c>
      <c r="D45" s="63" t="s">
        <v>1166</v>
      </c>
      <c r="E45" s="63">
        <v>421.0</v>
      </c>
      <c r="F45" s="63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3" t="s">
        <v>1120</v>
      </c>
      <c r="B46" s="63" t="s">
        <v>1125</v>
      </c>
      <c r="C46" s="63" t="s">
        <v>964</v>
      </c>
      <c r="D46" s="63" t="s">
        <v>1167</v>
      </c>
      <c r="E46" s="63">
        <v>422.0</v>
      </c>
      <c r="F46" s="63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3" t="s">
        <v>1120</v>
      </c>
      <c r="B47" s="63" t="s">
        <v>1125</v>
      </c>
      <c r="C47" s="63" t="s">
        <v>966</v>
      </c>
      <c r="D47" s="63" t="s">
        <v>1168</v>
      </c>
      <c r="E47" s="63">
        <v>423.0</v>
      </c>
      <c r="F47" s="63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3" t="s">
        <v>1120</v>
      </c>
      <c r="B48" s="63" t="s">
        <v>1125</v>
      </c>
      <c r="C48" s="63" t="s">
        <v>970</v>
      </c>
      <c r="D48" s="63" t="s">
        <v>1169</v>
      </c>
      <c r="E48" s="63">
        <v>425.0</v>
      </c>
      <c r="F48" s="63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3" t="s">
        <v>1120</v>
      </c>
      <c r="B49" s="63" t="s">
        <v>1125</v>
      </c>
      <c r="C49" s="63" t="s">
        <v>968</v>
      </c>
      <c r="D49" s="63" t="s">
        <v>1170</v>
      </c>
      <c r="E49" s="63">
        <v>424.0</v>
      </c>
      <c r="F49" s="63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3" t="s">
        <v>1120</v>
      </c>
      <c r="B50" s="63" t="s">
        <v>1125</v>
      </c>
      <c r="C50" s="63" t="s">
        <v>972</v>
      </c>
      <c r="D50" s="63" t="s">
        <v>1171</v>
      </c>
      <c r="E50" s="63">
        <v>426.0</v>
      </c>
      <c r="F50" s="63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3" t="s">
        <v>1120</v>
      </c>
      <c r="B51" s="63" t="s">
        <v>1125</v>
      </c>
      <c r="C51" s="63" t="s">
        <v>974</v>
      </c>
      <c r="D51" s="63" t="s">
        <v>1172</v>
      </c>
      <c r="E51" s="63">
        <v>427.0</v>
      </c>
      <c r="F51" s="63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3" t="s">
        <v>1120</v>
      </c>
      <c r="B52" s="63" t="s">
        <v>1125</v>
      </c>
      <c r="C52" s="63" t="s">
        <v>976</v>
      </c>
      <c r="D52" s="63" t="s">
        <v>1173</v>
      </c>
      <c r="E52" s="63">
        <v>428.0</v>
      </c>
      <c r="F52" s="63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3" t="s">
        <v>1120</v>
      </c>
      <c r="B53" s="63" t="s">
        <v>1125</v>
      </c>
      <c r="C53" s="63" t="s">
        <v>978</v>
      </c>
      <c r="D53" s="63" t="s">
        <v>1174</v>
      </c>
      <c r="E53" s="63">
        <v>429.0</v>
      </c>
      <c r="F53" s="63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3" t="s">
        <v>1120</v>
      </c>
      <c r="B54" s="63" t="s">
        <v>1125</v>
      </c>
      <c r="C54" s="63" t="s">
        <v>980</v>
      </c>
      <c r="D54" s="63" t="s">
        <v>1175</v>
      </c>
      <c r="E54" s="63">
        <v>430.0</v>
      </c>
      <c r="F54" s="63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3" t="s">
        <v>1120</v>
      </c>
      <c r="B55" s="63" t="s">
        <v>1125</v>
      </c>
      <c r="C55" s="63" t="s">
        <v>982</v>
      </c>
      <c r="D55" s="63" t="s">
        <v>1176</v>
      </c>
      <c r="E55" s="63">
        <v>431.0</v>
      </c>
      <c r="F55" s="63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3" t="s">
        <v>1120</v>
      </c>
      <c r="B56" s="63" t="s">
        <v>1125</v>
      </c>
      <c r="C56" s="63" t="s">
        <v>984</v>
      </c>
      <c r="D56" s="63" t="s">
        <v>1177</v>
      </c>
      <c r="E56" s="63">
        <v>432.0</v>
      </c>
      <c r="F56" s="63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3" t="s">
        <v>1120</v>
      </c>
      <c r="B57" s="63" t="s">
        <v>1125</v>
      </c>
      <c r="C57" s="63" t="s">
        <v>986</v>
      </c>
      <c r="D57" s="63" t="s">
        <v>1178</v>
      </c>
      <c r="E57" s="63">
        <v>433.0</v>
      </c>
      <c r="F57" s="63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3" t="s">
        <v>1120</v>
      </c>
      <c r="B58" s="63" t="s">
        <v>1125</v>
      </c>
      <c r="C58" s="63" t="s">
        <v>988</v>
      </c>
      <c r="D58" s="63" t="s">
        <v>1179</v>
      </c>
      <c r="E58" s="63">
        <v>434.0</v>
      </c>
      <c r="F58" s="63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3" t="s">
        <v>1120</v>
      </c>
      <c r="B59" s="63" t="s">
        <v>1125</v>
      </c>
      <c r="C59" s="63" t="s">
        <v>990</v>
      </c>
      <c r="D59" s="63" t="s">
        <v>1180</v>
      </c>
      <c r="E59" s="63">
        <v>435.0</v>
      </c>
      <c r="F59" s="63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3" t="s">
        <v>1120</v>
      </c>
      <c r="B60" s="63" t="s">
        <v>1125</v>
      </c>
      <c r="C60" s="63" t="s">
        <v>992</v>
      </c>
      <c r="D60" s="63" t="s">
        <v>1181</v>
      </c>
      <c r="E60" s="63">
        <v>436.0</v>
      </c>
      <c r="F60" s="63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3" t="s">
        <v>1120</v>
      </c>
      <c r="B61" s="63" t="s">
        <v>1125</v>
      </c>
      <c r="C61" s="63" t="s">
        <v>994</v>
      </c>
      <c r="D61" s="63" t="s">
        <v>1182</v>
      </c>
      <c r="E61" s="63">
        <v>437.0</v>
      </c>
      <c r="F61" s="63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3" t="s">
        <v>1120</v>
      </c>
      <c r="B62" s="63" t="s">
        <v>1125</v>
      </c>
      <c r="C62" s="63" t="s">
        <v>996</v>
      </c>
      <c r="D62" s="63" t="s">
        <v>1183</v>
      </c>
      <c r="E62" s="63">
        <v>438.0</v>
      </c>
      <c r="F62" s="63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3" t="s">
        <v>1120</v>
      </c>
      <c r="B63" s="63" t="s">
        <v>1125</v>
      </c>
      <c r="C63" s="63" t="s">
        <v>998</v>
      </c>
      <c r="D63" s="63" t="s">
        <v>1184</v>
      </c>
      <c r="E63" s="63">
        <v>439.0</v>
      </c>
      <c r="F63" s="63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3" t="s">
        <v>1120</v>
      </c>
      <c r="B64" s="63" t="s">
        <v>1125</v>
      </c>
      <c r="C64" s="63" t="s">
        <v>1000</v>
      </c>
      <c r="D64" s="63" t="s">
        <v>1185</v>
      </c>
      <c r="E64" s="63">
        <v>440.0</v>
      </c>
      <c r="F64" s="63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3" t="s">
        <v>1120</v>
      </c>
      <c r="B65" s="63" t="s">
        <v>1125</v>
      </c>
      <c r="C65" s="63" t="s">
        <v>1002</v>
      </c>
      <c r="D65" s="63" t="s">
        <v>1186</v>
      </c>
      <c r="E65" s="63">
        <v>441.0</v>
      </c>
      <c r="F65" s="63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3" t="s">
        <v>1120</v>
      </c>
      <c r="B66" s="63" t="s">
        <v>1125</v>
      </c>
      <c r="C66" s="63" t="s">
        <v>1004</v>
      </c>
      <c r="D66" s="63" t="s">
        <v>1187</v>
      </c>
      <c r="E66" s="63">
        <v>442.0</v>
      </c>
      <c r="F66" s="63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3" t="s">
        <v>1188</v>
      </c>
      <c r="B67" s="63" t="s">
        <v>1189</v>
      </c>
      <c r="C67" s="63" t="s">
        <v>341</v>
      </c>
      <c r="D67" s="63" t="s">
        <v>1190</v>
      </c>
      <c r="E67" s="63">
        <v>110.0</v>
      </c>
      <c r="F67" s="63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3" t="s">
        <v>1188</v>
      </c>
      <c r="B68" s="63" t="s">
        <v>1189</v>
      </c>
      <c r="C68" s="63" t="s">
        <v>387</v>
      </c>
      <c r="D68" s="63" t="s">
        <v>1191</v>
      </c>
      <c r="E68" s="63">
        <v>133.0</v>
      </c>
      <c r="F68" s="63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3" t="s">
        <v>1188</v>
      </c>
      <c r="B69" s="63" t="s">
        <v>1189</v>
      </c>
      <c r="C69" s="63" t="s">
        <v>385</v>
      </c>
      <c r="D69" s="63" t="s">
        <v>1192</v>
      </c>
      <c r="E69" s="63">
        <v>132.0</v>
      </c>
      <c r="F69" s="63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3" t="s">
        <v>1188</v>
      </c>
      <c r="B70" s="63" t="s">
        <v>1189</v>
      </c>
      <c r="C70" s="63" t="s">
        <v>367</v>
      </c>
      <c r="D70" s="63" t="s">
        <v>1193</v>
      </c>
      <c r="E70" s="63">
        <v>123.0</v>
      </c>
      <c r="F70" s="63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3" t="s">
        <v>1188</v>
      </c>
      <c r="B71" s="63" t="s">
        <v>1189</v>
      </c>
      <c r="C71" s="63" t="s">
        <v>417</v>
      </c>
      <c r="D71" s="63" t="s">
        <v>1194</v>
      </c>
      <c r="E71" s="63">
        <v>148.0</v>
      </c>
      <c r="F71" s="63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3" t="s">
        <v>1188</v>
      </c>
      <c r="B72" s="63" t="s">
        <v>1189</v>
      </c>
      <c r="C72" s="63" t="s">
        <v>383</v>
      </c>
      <c r="D72" s="63" t="s">
        <v>1195</v>
      </c>
      <c r="E72" s="63">
        <v>131.0</v>
      </c>
      <c r="F72" s="63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3" t="s">
        <v>1188</v>
      </c>
      <c r="B73" s="63" t="s">
        <v>1189</v>
      </c>
      <c r="C73" s="63" t="s">
        <v>365</v>
      </c>
      <c r="D73" s="63" t="s">
        <v>1196</v>
      </c>
      <c r="E73" s="63">
        <v>122.0</v>
      </c>
      <c r="F73" s="63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3" t="s">
        <v>1188</v>
      </c>
      <c r="B74" s="63" t="s">
        <v>1189</v>
      </c>
      <c r="C74" s="63" t="s">
        <v>343</v>
      </c>
      <c r="D74" s="63" t="s">
        <v>1197</v>
      </c>
      <c r="E74" s="63">
        <v>111.0</v>
      </c>
      <c r="F74" s="63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3" t="s">
        <v>1188</v>
      </c>
      <c r="B75" s="63" t="s">
        <v>1189</v>
      </c>
      <c r="C75" s="63" t="s">
        <v>369</v>
      </c>
      <c r="D75" s="63" t="s">
        <v>1198</v>
      </c>
      <c r="E75" s="63">
        <v>124.0</v>
      </c>
      <c r="F75" s="63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3" t="s">
        <v>1188</v>
      </c>
      <c r="B76" s="63" t="s">
        <v>1189</v>
      </c>
      <c r="C76" s="63" t="s">
        <v>419</v>
      </c>
      <c r="D76" s="63" t="s">
        <v>1199</v>
      </c>
      <c r="E76" s="63">
        <v>149.0</v>
      </c>
      <c r="F76" s="63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3" t="s">
        <v>1188</v>
      </c>
      <c r="B77" s="63" t="s">
        <v>1189</v>
      </c>
      <c r="C77" s="63" t="s">
        <v>421</v>
      </c>
      <c r="D77" s="63" t="s">
        <v>1200</v>
      </c>
      <c r="E77" s="63">
        <v>150.0</v>
      </c>
      <c r="F77" s="63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3" t="s">
        <v>1188</v>
      </c>
      <c r="B78" s="63" t="s">
        <v>1189</v>
      </c>
      <c r="C78" s="63" t="s">
        <v>423</v>
      </c>
      <c r="D78" s="63" t="s">
        <v>1201</v>
      </c>
      <c r="E78" s="63">
        <v>151.0</v>
      </c>
      <c r="F78" s="63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3" t="s">
        <v>1188</v>
      </c>
      <c r="B79" s="63" t="s">
        <v>1189</v>
      </c>
      <c r="C79" s="63" t="s">
        <v>351</v>
      </c>
      <c r="D79" s="63" t="s">
        <v>1202</v>
      </c>
      <c r="E79" s="63">
        <v>115.0</v>
      </c>
      <c r="F79" s="63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3" t="s">
        <v>1188</v>
      </c>
      <c r="B80" s="63" t="s">
        <v>1189</v>
      </c>
      <c r="C80" s="63" t="s">
        <v>345</v>
      </c>
      <c r="D80" s="63" t="s">
        <v>1203</v>
      </c>
      <c r="E80" s="63">
        <v>112.0</v>
      </c>
      <c r="F80" s="63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3" t="s">
        <v>1188</v>
      </c>
      <c r="B81" s="63" t="s">
        <v>1189</v>
      </c>
      <c r="C81" s="63" t="s">
        <v>347</v>
      </c>
      <c r="D81" s="63" t="s">
        <v>1204</v>
      </c>
      <c r="E81" s="63">
        <v>113.0</v>
      </c>
      <c r="F81" s="63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3" t="s">
        <v>1188</v>
      </c>
      <c r="B82" s="63" t="s">
        <v>1189</v>
      </c>
      <c r="C82" s="63" t="s">
        <v>1205</v>
      </c>
      <c r="D82" s="63" t="s">
        <v>1206</v>
      </c>
      <c r="E82" s="63">
        <v>114.0</v>
      </c>
      <c r="F82" s="63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3" t="s">
        <v>1188</v>
      </c>
      <c r="B83" s="63" t="s">
        <v>1189</v>
      </c>
      <c r="C83" s="63" t="s">
        <v>403</v>
      </c>
      <c r="D83" s="63" t="s">
        <v>1207</v>
      </c>
      <c r="E83" s="63">
        <v>141.0</v>
      </c>
      <c r="F83" s="63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3" t="s">
        <v>1188</v>
      </c>
      <c r="B84" s="63" t="s">
        <v>1189</v>
      </c>
      <c r="C84" s="63" t="s">
        <v>407</v>
      </c>
      <c r="D84" s="63" t="s">
        <v>1208</v>
      </c>
      <c r="E84" s="63">
        <v>143.0</v>
      </c>
      <c r="F84" s="63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3" t="s">
        <v>1188</v>
      </c>
      <c r="B85" s="63" t="s">
        <v>1189</v>
      </c>
      <c r="C85" s="63" t="s">
        <v>405</v>
      </c>
      <c r="D85" s="63" t="s">
        <v>1209</v>
      </c>
      <c r="E85" s="63">
        <v>142.0</v>
      </c>
      <c r="F85" s="63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3" t="s">
        <v>1188</v>
      </c>
      <c r="B86" s="63" t="s">
        <v>1189</v>
      </c>
      <c r="C86" s="63" t="s">
        <v>389</v>
      </c>
      <c r="D86" s="63" t="s">
        <v>1210</v>
      </c>
      <c r="E86" s="63">
        <v>134.0</v>
      </c>
      <c r="F86" s="63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3" t="s">
        <v>1188</v>
      </c>
      <c r="B87" s="63" t="s">
        <v>1189</v>
      </c>
      <c r="C87" s="63" t="s">
        <v>373</v>
      </c>
      <c r="D87" s="63" t="s">
        <v>1211</v>
      </c>
      <c r="E87" s="63">
        <v>126.0</v>
      </c>
      <c r="F87" s="63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3" t="s">
        <v>1188</v>
      </c>
      <c r="B88" s="63" t="s">
        <v>1189</v>
      </c>
      <c r="C88" s="63" t="s">
        <v>371</v>
      </c>
      <c r="D88" s="63" t="s">
        <v>1212</v>
      </c>
      <c r="E88" s="63">
        <v>125.0</v>
      </c>
      <c r="F88" s="63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3" t="s">
        <v>1188</v>
      </c>
      <c r="B89" s="63" t="s">
        <v>1189</v>
      </c>
      <c r="C89" s="63" t="s">
        <v>425</v>
      </c>
      <c r="D89" s="63" t="s">
        <v>1213</v>
      </c>
      <c r="E89" s="63">
        <v>152.0</v>
      </c>
      <c r="F89" s="63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3" t="s">
        <v>1188</v>
      </c>
      <c r="B90" s="63" t="s">
        <v>1189</v>
      </c>
      <c r="C90" s="63" t="s">
        <v>391</v>
      </c>
      <c r="D90" s="63" t="s">
        <v>1214</v>
      </c>
      <c r="E90" s="63">
        <v>135.0</v>
      </c>
      <c r="F90" s="63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3" t="s">
        <v>1188</v>
      </c>
      <c r="B91" s="63" t="s">
        <v>1189</v>
      </c>
      <c r="C91" s="63" t="s">
        <v>443</v>
      </c>
      <c r="D91" s="63" t="s">
        <v>1215</v>
      </c>
      <c r="E91" s="63">
        <v>161.0</v>
      </c>
      <c r="F91" s="63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3" t="s">
        <v>1188</v>
      </c>
      <c r="B92" s="63" t="s">
        <v>1189</v>
      </c>
      <c r="C92" s="63" t="s">
        <v>1092</v>
      </c>
      <c r="D92" s="63" t="s">
        <v>1216</v>
      </c>
      <c r="E92" s="63">
        <v>486.0</v>
      </c>
      <c r="F92" s="63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3" t="s">
        <v>1188</v>
      </c>
      <c r="B93" s="63" t="s">
        <v>1189</v>
      </c>
      <c r="C93" s="63" t="s">
        <v>355</v>
      </c>
      <c r="D93" s="63" t="s">
        <v>1217</v>
      </c>
      <c r="E93" s="63">
        <v>117.0</v>
      </c>
      <c r="F93" s="63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3" t="s">
        <v>1188</v>
      </c>
      <c r="B94" s="63" t="s">
        <v>1189</v>
      </c>
      <c r="C94" s="63" t="s">
        <v>353</v>
      </c>
      <c r="D94" s="63" t="s">
        <v>1218</v>
      </c>
      <c r="E94" s="63">
        <v>116.0</v>
      </c>
      <c r="F94" s="63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3" t="s">
        <v>1188</v>
      </c>
      <c r="B95" s="63" t="s">
        <v>1189</v>
      </c>
      <c r="C95" s="63" t="s">
        <v>357</v>
      </c>
      <c r="D95" s="63" t="s">
        <v>1203</v>
      </c>
      <c r="E95" s="63">
        <v>118.0</v>
      </c>
      <c r="F95" s="63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3" t="s">
        <v>1188</v>
      </c>
      <c r="B96" s="63" t="s">
        <v>1189</v>
      </c>
      <c r="C96" s="63" t="s">
        <v>1104</v>
      </c>
      <c r="D96" s="63" t="s">
        <v>1219</v>
      </c>
      <c r="E96" s="63">
        <v>492.0</v>
      </c>
      <c r="F96" s="63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3" t="s">
        <v>1188</v>
      </c>
      <c r="B97" s="63" t="s">
        <v>1189</v>
      </c>
      <c r="C97" s="63" t="s">
        <v>397</v>
      </c>
      <c r="D97" s="63" t="s">
        <v>1220</v>
      </c>
      <c r="E97" s="63">
        <v>138.0</v>
      </c>
      <c r="F97" s="63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3" t="s">
        <v>1188</v>
      </c>
      <c r="B98" s="63" t="s">
        <v>1189</v>
      </c>
      <c r="C98" s="63" t="s">
        <v>409</v>
      </c>
      <c r="D98" s="63" t="s">
        <v>1221</v>
      </c>
      <c r="E98" s="63">
        <v>144.0</v>
      </c>
      <c r="F98" s="63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3" t="s">
        <v>1188</v>
      </c>
      <c r="B99" s="63" t="s">
        <v>1189</v>
      </c>
      <c r="C99" s="63" t="s">
        <v>395</v>
      </c>
      <c r="D99" s="63" t="s">
        <v>1222</v>
      </c>
      <c r="E99" s="63">
        <v>137.0</v>
      </c>
      <c r="F99" s="63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3" t="s">
        <v>1188</v>
      </c>
      <c r="B100" s="63" t="s">
        <v>1189</v>
      </c>
      <c r="C100" s="63" t="s">
        <v>375</v>
      </c>
      <c r="D100" s="63" t="s">
        <v>1223</v>
      </c>
      <c r="E100" s="63">
        <v>127.0</v>
      </c>
      <c r="F100" s="63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3" t="s">
        <v>1188</v>
      </c>
      <c r="B101" s="63" t="s">
        <v>1189</v>
      </c>
      <c r="C101" s="63" t="s">
        <v>427</v>
      </c>
      <c r="D101" s="63" t="s">
        <v>1224</v>
      </c>
      <c r="E101" s="63">
        <v>153.0</v>
      </c>
      <c r="F101" s="63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3" t="s">
        <v>1188</v>
      </c>
      <c r="B102" s="63" t="s">
        <v>1189</v>
      </c>
      <c r="C102" s="63" t="s">
        <v>449</v>
      </c>
      <c r="D102" s="63" t="s">
        <v>1225</v>
      </c>
      <c r="E102" s="63">
        <v>164.0</v>
      </c>
      <c r="F102" s="63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3" t="s">
        <v>1188</v>
      </c>
      <c r="B103" s="63" t="s">
        <v>1189</v>
      </c>
      <c r="C103" s="63" t="s">
        <v>393</v>
      </c>
      <c r="D103" s="63" t="s">
        <v>1226</v>
      </c>
      <c r="E103" s="63">
        <v>136.0</v>
      </c>
      <c r="F103" s="63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3" t="s">
        <v>1188</v>
      </c>
      <c r="B104" s="63" t="s">
        <v>1189</v>
      </c>
      <c r="C104" s="63" t="s">
        <v>445</v>
      </c>
      <c r="D104" s="63" t="s">
        <v>1227</v>
      </c>
      <c r="E104" s="63">
        <v>162.0</v>
      </c>
      <c r="F104" s="63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3" t="s">
        <v>1188</v>
      </c>
      <c r="B105" s="63" t="s">
        <v>1189</v>
      </c>
      <c r="C105" s="63" t="s">
        <v>359</v>
      </c>
      <c r="D105" s="63" t="s">
        <v>1228</v>
      </c>
      <c r="E105" s="63">
        <v>119.0</v>
      </c>
      <c r="F105" s="63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3" t="s">
        <v>1188</v>
      </c>
      <c r="B106" s="63" t="s">
        <v>1189</v>
      </c>
      <c r="C106" s="63" t="s">
        <v>1102</v>
      </c>
      <c r="D106" s="63" t="s">
        <v>1229</v>
      </c>
      <c r="E106" s="63">
        <v>491.0</v>
      </c>
      <c r="F106" s="63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3" t="s">
        <v>1188</v>
      </c>
      <c r="B107" s="63" t="s">
        <v>1189</v>
      </c>
      <c r="C107" s="63" t="s">
        <v>1090</v>
      </c>
      <c r="D107" s="63" t="s">
        <v>1230</v>
      </c>
      <c r="E107" s="63">
        <v>485.0</v>
      </c>
      <c r="F107" s="63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3" t="s">
        <v>1188</v>
      </c>
      <c r="B108" s="63" t="s">
        <v>1189</v>
      </c>
      <c r="C108" s="63" t="s">
        <v>411</v>
      </c>
      <c r="D108" s="63" t="s">
        <v>1231</v>
      </c>
      <c r="E108" s="63">
        <v>145.0</v>
      </c>
      <c r="F108" s="63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3" t="s">
        <v>1188</v>
      </c>
      <c r="B109" s="63" t="s">
        <v>1189</v>
      </c>
      <c r="C109" s="63" t="s">
        <v>1096</v>
      </c>
      <c r="D109" s="63" t="s">
        <v>1232</v>
      </c>
      <c r="E109" s="63">
        <v>488.0</v>
      </c>
      <c r="F109" s="63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3" t="s">
        <v>1188</v>
      </c>
      <c r="B110" s="63" t="s">
        <v>1189</v>
      </c>
      <c r="C110" s="63" t="s">
        <v>399</v>
      </c>
      <c r="D110" s="63" t="s">
        <v>1233</v>
      </c>
      <c r="E110" s="63">
        <v>139.0</v>
      </c>
      <c r="F110" s="63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3" t="s">
        <v>1188</v>
      </c>
      <c r="B111" s="63" t="s">
        <v>1189</v>
      </c>
      <c r="C111" s="63" t="s">
        <v>413</v>
      </c>
      <c r="D111" s="63" t="s">
        <v>1234</v>
      </c>
      <c r="E111" s="63">
        <v>146.0</v>
      </c>
      <c r="F111" s="63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3" t="s">
        <v>1188</v>
      </c>
      <c r="B112" s="63" t="s">
        <v>1189</v>
      </c>
      <c r="C112" s="63" t="s">
        <v>429</v>
      </c>
      <c r="D112" s="63" t="s">
        <v>1235</v>
      </c>
      <c r="E112" s="63">
        <v>154.0</v>
      </c>
      <c r="F112" s="63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3" t="s">
        <v>1188</v>
      </c>
      <c r="B113" s="63" t="s">
        <v>1189</v>
      </c>
      <c r="C113" s="63" t="s">
        <v>377</v>
      </c>
      <c r="D113" s="63" t="s">
        <v>1236</v>
      </c>
      <c r="E113" s="63">
        <v>128.0</v>
      </c>
      <c r="F113" s="63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3" t="s">
        <v>1188</v>
      </c>
      <c r="B114" s="63" t="s">
        <v>1189</v>
      </c>
      <c r="C114" s="63" t="s">
        <v>1100</v>
      </c>
      <c r="D114" s="63" t="s">
        <v>1237</v>
      </c>
      <c r="E114" s="63">
        <v>490.0</v>
      </c>
      <c r="F114" s="63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3" t="s">
        <v>1188</v>
      </c>
      <c r="B115" s="63" t="s">
        <v>1189</v>
      </c>
      <c r="C115" s="63" t="s">
        <v>363</v>
      </c>
      <c r="D115" s="63" t="s">
        <v>1238</v>
      </c>
      <c r="E115" s="63">
        <v>121.0</v>
      </c>
      <c r="F115" s="63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3" t="s">
        <v>1188</v>
      </c>
      <c r="B116" s="63" t="s">
        <v>1189</v>
      </c>
      <c r="C116" s="63" t="s">
        <v>361</v>
      </c>
      <c r="D116" s="63" t="s">
        <v>1239</v>
      </c>
      <c r="E116" s="63">
        <v>120.0</v>
      </c>
      <c r="F116" s="63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3" t="s">
        <v>1188</v>
      </c>
      <c r="B117" s="63" t="s">
        <v>1189</v>
      </c>
      <c r="C117" s="63" t="s">
        <v>415</v>
      </c>
      <c r="D117" s="63" t="s">
        <v>1240</v>
      </c>
      <c r="E117" s="63">
        <v>147.0</v>
      </c>
      <c r="F117" s="63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3" t="s">
        <v>1188</v>
      </c>
      <c r="B118" s="63" t="s">
        <v>1189</v>
      </c>
      <c r="C118" s="63" t="s">
        <v>1094</v>
      </c>
      <c r="D118" s="63" t="s">
        <v>1241</v>
      </c>
      <c r="E118" s="63">
        <v>487.0</v>
      </c>
      <c r="F118" s="63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3" t="s">
        <v>1188</v>
      </c>
      <c r="B119" s="63" t="s">
        <v>1189</v>
      </c>
      <c r="C119" s="63" t="s">
        <v>401</v>
      </c>
      <c r="D119" s="63" t="s">
        <v>1242</v>
      </c>
      <c r="E119" s="63">
        <v>140.0</v>
      </c>
      <c r="F119" s="63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3" t="s">
        <v>1188</v>
      </c>
      <c r="B120" s="63" t="s">
        <v>1189</v>
      </c>
      <c r="C120" s="63" t="s">
        <v>381</v>
      </c>
      <c r="D120" s="63" t="s">
        <v>1243</v>
      </c>
      <c r="E120" s="63">
        <v>130.0</v>
      </c>
      <c r="F120" s="63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3" t="s">
        <v>1188</v>
      </c>
      <c r="B121" s="63" t="s">
        <v>1189</v>
      </c>
      <c r="C121" s="63" t="s">
        <v>379</v>
      </c>
      <c r="D121" s="63" t="s">
        <v>1244</v>
      </c>
      <c r="E121" s="63">
        <v>129.0</v>
      </c>
      <c r="F121" s="63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3" t="s">
        <v>1188</v>
      </c>
      <c r="B122" s="63" t="s">
        <v>1189</v>
      </c>
      <c r="C122" s="63" t="s">
        <v>431</v>
      </c>
      <c r="D122" s="63" t="s">
        <v>1245</v>
      </c>
      <c r="E122" s="63">
        <v>155.0</v>
      </c>
      <c r="F122" s="63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3" t="s">
        <v>1188</v>
      </c>
      <c r="B123" s="63" t="s">
        <v>1189</v>
      </c>
      <c r="C123" s="63" t="s">
        <v>1098</v>
      </c>
      <c r="D123" s="63" t="s">
        <v>1246</v>
      </c>
      <c r="E123" s="63">
        <v>489.0</v>
      </c>
      <c r="F123" s="63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3" t="s">
        <v>1188</v>
      </c>
      <c r="B124" s="63" t="s">
        <v>1189</v>
      </c>
      <c r="C124" s="63" t="s">
        <v>447</v>
      </c>
      <c r="D124" s="63" t="s">
        <v>1247</v>
      </c>
      <c r="E124" s="63">
        <v>163.0</v>
      </c>
      <c r="F124" s="63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3" t="s">
        <v>1188</v>
      </c>
      <c r="B125" s="63" t="s">
        <v>1189</v>
      </c>
      <c r="C125" s="63" t="s">
        <v>435</v>
      </c>
      <c r="D125" s="63" t="s">
        <v>1248</v>
      </c>
      <c r="E125" s="63">
        <v>157.0</v>
      </c>
      <c r="F125" s="63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3" t="s">
        <v>1188</v>
      </c>
      <c r="B126" s="63" t="s">
        <v>1189</v>
      </c>
      <c r="C126" s="63" t="s">
        <v>439</v>
      </c>
      <c r="D126" s="63" t="s">
        <v>1249</v>
      </c>
      <c r="E126" s="63">
        <v>159.0</v>
      </c>
      <c r="F126" s="63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3" t="s">
        <v>1188</v>
      </c>
      <c r="B127" s="63" t="s">
        <v>1189</v>
      </c>
      <c r="C127" s="63" t="s">
        <v>437</v>
      </c>
      <c r="D127" s="63" t="s">
        <v>1250</v>
      </c>
      <c r="E127" s="63">
        <v>158.0</v>
      </c>
      <c r="F127" s="63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3" t="s">
        <v>1188</v>
      </c>
      <c r="B128" s="63" t="s">
        <v>1189</v>
      </c>
      <c r="C128" s="63" t="s">
        <v>441</v>
      </c>
      <c r="D128" s="63" t="s">
        <v>1251</v>
      </c>
      <c r="E128" s="63">
        <v>160.0</v>
      </c>
      <c r="F128" s="63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3" t="s">
        <v>1188</v>
      </c>
      <c r="B129" s="63" t="s">
        <v>1189</v>
      </c>
      <c r="C129" s="63" t="s">
        <v>1078</v>
      </c>
      <c r="D129" s="63" t="s">
        <v>1252</v>
      </c>
      <c r="E129" s="63">
        <v>479.0</v>
      </c>
      <c r="F129" s="63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3" t="s">
        <v>1188</v>
      </c>
      <c r="B130" s="63" t="s">
        <v>1189</v>
      </c>
      <c r="C130" s="63" t="s">
        <v>1082</v>
      </c>
      <c r="D130" s="63" t="s">
        <v>1253</v>
      </c>
      <c r="E130" s="63">
        <v>481.0</v>
      </c>
      <c r="F130" s="63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3" t="s">
        <v>1188</v>
      </c>
      <c r="B131" s="63" t="s">
        <v>1189</v>
      </c>
      <c r="C131" s="63" t="s">
        <v>1080</v>
      </c>
      <c r="D131" s="63" t="s">
        <v>1254</v>
      </c>
      <c r="E131" s="63">
        <v>480.0</v>
      </c>
      <c r="F131" s="63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3" t="s">
        <v>1188</v>
      </c>
      <c r="B132" s="63" t="s">
        <v>1189</v>
      </c>
      <c r="C132" s="63" t="s">
        <v>1076</v>
      </c>
      <c r="D132" s="63" t="s">
        <v>1255</v>
      </c>
      <c r="E132" s="63">
        <v>478.0</v>
      </c>
      <c r="F132" s="63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3" t="s">
        <v>1188</v>
      </c>
      <c r="B133" s="63" t="s">
        <v>1189</v>
      </c>
      <c r="C133" s="63" t="s">
        <v>1074</v>
      </c>
      <c r="D133" s="63" t="s">
        <v>1256</v>
      </c>
      <c r="E133" s="63">
        <v>477.0</v>
      </c>
      <c r="F133" s="63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3" t="s">
        <v>1188</v>
      </c>
      <c r="B134" s="63" t="s">
        <v>1189</v>
      </c>
      <c r="C134" s="63" t="s">
        <v>1084</v>
      </c>
      <c r="D134" s="63" t="s">
        <v>1257</v>
      </c>
      <c r="E134" s="63">
        <v>482.0</v>
      </c>
      <c r="F134" s="63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3" t="s">
        <v>1188</v>
      </c>
      <c r="B135" s="63" t="s">
        <v>1189</v>
      </c>
      <c r="C135" s="63" t="s">
        <v>433</v>
      </c>
      <c r="D135" s="63" t="s">
        <v>1258</v>
      </c>
      <c r="E135" s="63">
        <v>156.0</v>
      </c>
      <c r="F135" s="63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3" t="s">
        <v>1259</v>
      </c>
      <c r="B136" s="63" t="s">
        <v>1260</v>
      </c>
      <c r="C136" s="63" t="s">
        <v>612</v>
      </c>
      <c r="D136" s="63" t="s">
        <v>1261</v>
      </c>
      <c r="E136" s="63">
        <v>239.0</v>
      </c>
      <c r="F136" s="63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3" t="s">
        <v>1259</v>
      </c>
      <c r="B137" s="63" t="s">
        <v>1260</v>
      </c>
      <c r="C137" s="63" t="s">
        <v>114</v>
      </c>
      <c r="D137" s="63" t="s">
        <v>1262</v>
      </c>
      <c r="E137" s="63">
        <v>233.0</v>
      </c>
      <c r="F137" s="63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3" t="s">
        <v>1259</v>
      </c>
      <c r="B138" s="63" t="s">
        <v>1260</v>
      </c>
      <c r="C138" s="63" t="s">
        <v>589</v>
      </c>
      <c r="D138" s="63" t="s">
        <v>1263</v>
      </c>
      <c r="E138" s="63">
        <v>227.0</v>
      </c>
      <c r="F138" s="63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3" t="s">
        <v>1259</v>
      </c>
      <c r="B139" s="63" t="s">
        <v>1260</v>
      </c>
      <c r="C139" s="63" t="s">
        <v>665</v>
      </c>
      <c r="D139" s="63" t="s">
        <v>1264</v>
      </c>
      <c r="E139" s="63">
        <v>269.0</v>
      </c>
      <c r="F139" s="63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3" t="s">
        <v>1259</v>
      </c>
      <c r="B140" s="63" t="s">
        <v>1260</v>
      </c>
      <c r="C140" s="63" t="s">
        <v>46</v>
      </c>
      <c r="D140" s="63"/>
      <c r="E140" s="63">
        <v>504.0</v>
      </c>
      <c r="F140" s="63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3" t="s">
        <v>1259</v>
      </c>
      <c r="B141" s="63" t="s">
        <v>1260</v>
      </c>
      <c r="C141" s="63" t="s">
        <v>641</v>
      </c>
      <c r="D141" s="63" t="s">
        <v>1265</v>
      </c>
      <c r="E141" s="63">
        <v>256.0</v>
      </c>
      <c r="F141" s="63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3" t="s">
        <v>1259</v>
      </c>
      <c r="B142" s="63" t="s">
        <v>1260</v>
      </c>
      <c r="C142" s="63" t="s">
        <v>10</v>
      </c>
      <c r="D142" s="63"/>
      <c r="E142" s="63">
        <v>495.0</v>
      </c>
      <c r="F142" s="63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3" t="s">
        <v>1259</v>
      </c>
      <c r="B143" s="63" t="s">
        <v>1260</v>
      </c>
      <c r="C143" s="63" t="s">
        <v>111</v>
      </c>
      <c r="D143" s="63" t="s">
        <v>1266</v>
      </c>
      <c r="E143" s="63">
        <v>241.0</v>
      </c>
      <c r="F143" s="63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3" t="s">
        <v>1259</v>
      </c>
      <c r="B144" s="63" t="s">
        <v>1260</v>
      </c>
      <c r="C144" s="63" t="s">
        <v>653</v>
      </c>
      <c r="D144" s="63" t="s">
        <v>1267</v>
      </c>
      <c r="E144" s="63">
        <v>263.0</v>
      </c>
      <c r="F144" s="63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3" t="s">
        <v>1259</v>
      </c>
      <c r="B145" s="63" t="s">
        <v>1260</v>
      </c>
      <c r="C145" s="63" t="s">
        <v>581</v>
      </c>
      <c r="D145" s="63" t="s">
        <v>1268</v>
      </c>
      <c r="E145" s="63">
        <v>222.0</v>
      </c>
      <c r="F145" s="63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3" t="s">
        <v>1259</v>
      </c>
      <c r="B146" s="63" t="s">
        <v>1260</v>
      </c>
      <c r="C146" s="63" t="s">
        <v>659</v>
      </c>
      <c r="D146" s="63" t="s">
        <v>1269</v>
      </c>
      <c r="E146" s="63">
        <v>266.0</v>
      </c>
      <c r="F146" s="63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3" t="s">
        <v>1259</v>
      </c>
      <c r="B147" s="63" t="s">
        <v>1260</v>
      </c>
      <c r="C147" s="63" t="s">
        <v>608</v>
      </c>
      <c r="D147" s="63" t="s">
        <v>1270</v>
      </c>
      <c r="E147" s="63">
        <v>237.0</v>
      </c>
      <c r="F147" s="63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3" t="s">
        <v>1259</v>
      </c>
      <c r="B148" s="63" t="s">
        <v>1260</v>
      </c>
      <c r="C148" s="63" t="s">
        <v>42</v>
      </c>
      <c r="D148" s="63" t="s">
        <v>1271</v>
      </c>
      <c r="E148" s="63">
        <v>503.0</v>
      </c>
      <c r="F148" s="63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3" t="s">
        <v>1259</v>
      </c>
      <c r="B149" s="63" t="s">
        <v>1260</v>
      </c>
      <c r="C149" s="63" t="s">
        <v>639</v>
      </c>
      <c r="D149" s="63" t="s">
        <v>1272</v>
      </c>
      <c r="E149" s="63">
        <v>255.0</v>
      </c>
      <c r="F149" s="63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3" t="s">
        <v>1259</v>
      </c>
      <c r="B150" s="63" t="s">
        <v>1260</v>
      </c>
      <c r="C150" s="63" t="s">
        <v>604</v>
      </c>
      <c r="D150" s="63" t="s">
        <v>1273</v>
      </c>
      <c r="E150" s="63">
        <v>235.0</v>
      </c>
      <c r="F150" s="63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3" t="s">
        <v>1259</v>
      </c>
      <c r="B151" s="63" t="s">
        <v>1260</v>
      </c>
      <c r="C151" s="63" t="s">
        <v>637</v>
      </c>
      <c r="D151" s="63" t="s">
        <v>1274</v>
      </c>
      <c r="E151" s="63">
        <v>254.0</v>
      </c>
      <c r="F151" s="63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3" t="s">
        <v>1259</v>
      </c>
      <c r="B152" s="63" t="s">
        <v>1260</v>
      </c>
      <c r="C152" s="63" t="s">
        <v>60</v>
      </c>
      <c r="D152" s="63" t="s">
        <v>1275</v>
      </c>
      <c r="E152" s="63">
        <v>277.0</v>
      </c>
      <c r="F152" s="63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3" t="s">
        <v>1259</v>
      </c>
      <c r="B153" s="63" t="s">
        <v>1260</v>
      </c>
      <c r="C153" s="63" t="s">
        <v>628</v>
      </c>
      <c r="D153" s="63" t="s">
        <v>1276</v>
      </c>
      <c r="E153" s="63">
        <v>249.0</v>
      </c>
      <c r="F153" s="63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3" t="s">
        <v>1259</v>
      </c>
      <c r="B154" s="63" t="s">
        <v>1260</v>
      </c>
      <c r="C154" s="63" t="s">
        <v>108</v>
      </c>
      <c r="D154" s="63" t="s">
        <v>1277</v>
      </c>
      <c r="E154" s="63">
        <v>240.0</v>
      </c>
      <c r="F154" s="63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3" t="s">
        <v>1259</v>
      </c>
      <c r="B155" s="63" t="s">
        <v>1260</v>
      </c>
      <c r="C155" s="63" t="s">
        <v>120</v>
      </c>
      <c r="D155" s="63" t="s">
        <v>1278</v>
      </c>
      <c r="E155" s="63">
        <v>226.0</v>
      </c>
      <c r="F155" s="63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3" t="s">
        <v>1259</v>
      </c>
      <c r="B156" s="63" t="s">
        <v>1260</v>
      </c>
      <c r="C156" s="63" t="s">
        <v>586</v>
      </c>
      <c r="D156" s="63" t="s">
        <v>1279</v>
      </c>
      <c r="E156" s="63">
        <v>225.0</v>
      </c>
      <c r="F156" s="63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3" t="s">
        <v>1259</v>
      </c>
      <c r="B157" s="63" t="s">
        <v>1260</v>
      </c>
      <c r="C157" s="63" t="s">
        <v>98</v>
      </c>
      <c r="D157" s="63" t="s">
        <v>1280</v>
      </c>
      <c r="E157" s="63">
        <v>246.0</v>
      </c>
      <c r="F157" s="63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3" t="s">
        <v>1259</v>
      </c>
      <c r="B158" s="63" t="s">
        <v>1260</v>
      </c>
      <c r="C158" s="63" t="s">
        <v>622</v>
      </c>
      <c r="D158" s="63" t="s">
        <v>1281</v>
      </c>
      <c r="E158" s="63">
        <v>245.0</v>
      </c>
      <c r="F158" s="63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3" t="s">
        <v>1259</v>
      </c>
      <c r="B159" s="63" t="s">
        <v>1260</v>
      </c>
      <c r="C159" s="63" t="s">
        <v>651</v>
      </c>
      <c r="D159" s="63" t="s">
        <v>1282</v>
      </c>
      <c r="E159" s="63">
        <v>262.0</v>
      </c>
      <c r="F159" s="63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3" t="s">
        <v>1259</v>
      </c>
      <c r="B160" s="63" t="s">
        <v>1260</v>
      </c>
      <c r="C160" s="63" t="s">
        <v>610</v>
      </c>
      <c r="D160" s="63" t="s">
        <v>1283</v>
      </c>
      <c r="E160" s="63">
        <v>238.0</v>
      </c>
      <c r="F160" s="63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3" t="s">
        <v>1259</v>
      </c>
      <c r="B161" s="63" t="s">
        <v>1260</v>
      </c>
      <c r="C161" s="63" t="s">
        <v>575</v>
      </c>
      <c r="D161" s="63" t="s">
        <v>1284</v>
      </c>
      <c r="E161" s="63">
        <v>219.0</v>
      </c>
      <c r="F161" s="63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3" t="s">
        <v>1259</v>
      </c>
      <c r="B162" s="63" t="s">
        <v>1260</v>
      </c>
      <c r="C162" s="63" t="s">
        <v>95</v>
      </c>
      <c r="D162" s="63" t="s">
        <v>1285</v>
      </c>
      <c r="E162" s="63">
        <v>247.0</v>
      </c>
      <c r="F162" s="63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3" t="s">
        <v>1259</v>
      </c>
      <c r="B163" s="63" t="s">
        <v>1260</v>
      </c>
      <c r="C163" s="63" t="s">
        <v>669</v>
      </c>
      <c r="D163" s="63" t="s">
        <v>1286</v>
      </c>
      <c r="E163" s="63">
        <v>270.0</v>
      </c>
      <c r="F163" s="63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3" t="s">
        <v>1259</v>
      </c>
      <c r="B164" s="63" t="s">
        <v>1260</v>
      </c>
      <c r="C164" s="63" t="s">
        <v>671</v>
      </c>
      <c r="D164" s="63" t="s">
        <v>1287</v>
      </c>
      <c r="E164" s="63">
        <v>271.0</v>
      </c>
      <c r="F164" s="63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3" t="s">
        <v>1259</v>
      </c>
      <c r="B165" s="63" t="s">
        <v>1260</v>
      </c>
      <c r="C165" s="63" t="s">
        <v>18</v>
      </c>
      <c r="D165" s="63"/>
      <c r="E165" s="63">
        <v>496.0</v>
      </c>
      <c r="F165" s="63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3" t="s">
        <v>1259</v>
      </c>
      <c r="B166" s="63" t="s">
        <v>1260</v>
      </c>
      <c r="C166" s="63" t="s">
        <v>602</v>
      </c>
      <c r="D166" s="63" t="s">
        <v>1288</v>
      </c>
      <c r="E166" s="63">
        <v>234.0</v>
      </c>
      <c r="F166" s="63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3" t="s">
        <v>1259</v>
      </c>
      <c r="B167" s="63" t="s">
        <v>1260</v>
      </c>
      <c r="C167" s="63" t="s">
        <v>632</v>
      </c>
      <c r="D167" s="63" t="s">
        <v>1289</v>
      </c>
      <c r="E167" s="63">
        <v>251.0</v>
      </c>
      <c r="F167" s="63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3" t="s">
        <v>1259</v>
      </c>
      <c r="B168" s="63" t="s">
        <v>1260</v>
      </c>
      <c r="C168" s="63" t="s">
        <v>83</v>
      </c>
      <c r="D168" s="63" t="s">
        <v>1290</v>
      </c>
      <c r="E168" s="63">
        <v>259.0</v>
      </c>
      <c r="F168" s="63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3" t="s">
        <v>1259</v>
      </c>
      <c r="B169" s="63" t="s">
        <v>1260</v>
      </c>
      <c r="C169" s="63" t="s">
        <v>86</v>
      </c>
      <c r="D169" s="63" t="s">
        <v>1291</v>
      </c>
      <c r="E169" s="63">
        <v>260.0</v>
      </c>
      <c r="F169" s="63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3" t="s">
        <v>1259</v>
      </c>
      <c r="B170" s="63" t="s">
        <v>1260</v>
      </c>
      <c r="C170" s="63" t="s">
        <v>591</v>
      </c>
      <c r="D170" s="63" t="s">
        <v>1292</v>
      </c>
      <c r="E170" s="63">
        <v>228.0</v>
      </c>
      <c r="F170" s="63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3" t="s">
        <v>1259</v>
      </c>
      <c r="B171" s="63" t="s">
        <v>1260</v>
      </c>
      <c r="C171" s="63" t="s">
        <v>643</v>
      </c>
      <c r="D171" s="63" t="s">
        <v>1293</v>
      </c>
      <c r="E171" s="63">
        <v>257.0</v>
      </c>
      <c r="F171" s="63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3" t="s">
        <v>1259</v>
      </c>
      <c r="B172" s="63" t="s">
        <v>1260</v>
      </c>
      <c r="C172" s="63" t="s">
        <v>626</v>
      </c>
      <c r="D172" s="63" t="s">
        <v>1294</v>
      </c>
      <c r="E172" s="63">
        <v>248.0</v>
      </c>
      <c r="F172" s="63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3" t="s">
        <v>1259</v>
      </c>
      <c r="B173" s="63" t="s">
        <v>1260</v>
      </c>
      <c r="C173" s="63" t="s">
        <v>135</v>
      </c>
      <c r="D173" s="63" t="s">
        <v>1295</v>
      </c>
      <c r="E173" s="63">
        <v>220.0</v>
      </c>
      <c r="F173" s="63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3" t="s">
        <v>1259</v>
      </c>
      <c r="B174" s="63" t="s">
        <v>1260</v>
      </c>
      <c r="C174" s="63" t="s">
        <v>578</v>
      </c>
      <c r="D174" s="63" t="s">
        <v>1296</v>
      </c>
      <c r="E174" s="63">
        <v>221.0</v>
      </c>
      <c r="F174" s="63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3" t="s">
        <v>1259</v>
      </c>
      <c r="B175" s="63" t="s">
        <v>1260</v>
      </c>
      <c r="C175" s="63" t="s">
        <v>126</v>
      </c>
      <c r="D175" s="63" t="s">
        <v>1297</v>
      </c>
      <c r="E175" s="63">
        <v>223.0</v>
      </c>
      <c r="F175" s="63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3" t="s">
        <v>1259</v>
      </c>
      <c r="B176" s="63" t="s">
        <v>1260</v>
      </c>
      <c r="C176" s="63" t="s">
        <v>662</v>
      </c>
      <c r="D176" s="63" t="s">
        <v>1298</v>
      </c>
      <c r="E176" s="63">
        <v>268.0</v>
      </c>
      <c r="F176" s="63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3" t="s">
        <v>1259</v>
      </c>
      <c r="B177" s="63" t="s">
        <v>1260</v>
      </c>
      <c r="C177" s="63" t="s">
        <v>79</v>
      </c>
      <c r="D177" s="63" t="s">
        <v>1299</v>
      </c>
      <c r="E177" s="63">
        <v>267.0</v>
      </c>
      <c r="F177" s="63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3" t="s">
        <v>1259</v>
      </c>
      <c r="B178" s="63" t="s">
        <v>1260</v>
      </c>
      <c r="C178" s="63" t="s">
        <v>619</v>
      </c>
      <c r="D178" s="63" t="s">
        <v>1300</v>
      </c>
      <c r="E178" s="63">
        <v>244.0</v>
      </c>
      <c r="F178" s="63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3" t="s">
        <v>1259</v>
      </c>
      <c r="B179" s="63" t="s">
        <v>1260</v>
      </c>
      <c r="C179" s="63" t="s">
        <v>606</v>
      </c>
      <c r="D179" s="63" t="s">
        <v>1301</v>
      </c>
      <c r="E179" s="63">
        <v>236.0</v>
      </c>
      <c r="F179" s="63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3" t="s">
        <v>1259</v>
      </c>
      <c r="B180" s="63" t="s">
        <v>1260</v>
      </c>
      <c r="C180" s="63" t="s">
        <v>55</v>
      </c>
      <c r="D180" s="63" t="s">
        <v>1302</v>
      </c>
      <c r="E180" s="63">
        <v>506.0</v>
      </c>
      <c r="F180" s="63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3" t="s">
        <v>1259</v>
      </c>
      <c r="B181" s="63" t="s">
        <v>1260</v>
      </c>
      <c r="C181" s="63" t="s">
        <v>634</v>
      </c>
      <c r="D181" s="63" t="s">
        <v>1303</v>
      </c>
      <c r="E181" s="63">
        <v>252.0</v>
      </c>
      <c r="F181" s="63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3" t="s">
        <v>1259</v>
      </c>
      <c r="B182" s="63" t="s">
        <v>1260</v>
      </c>
      <c r="C182" s="63" t="s">
        <v>63</v>
      </c>
      <c r="D182" s="63" t="s">
        <v>1304</v>
      </c>
      <c r="E182" s="63">
        <v>276.0</v>
      </c>
      <c r="F182" s="63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3" t="s">
        <v>1259</v>
      </c>
      <c r="B183" s="63" t="s">
        <v>1260</v>
      </c>
      <c r="C183" s="63" t="s">
        <v>675</v>
      </c>
      <c r="D183" s="63" t="s">
        <v>1305</v>
      </c>
      <c r="E183" s="63">
        <v>274.0</v>
      </c>
      <c r="F183" s="63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3" t="s">
        <v>1259</v>
      </c>
      <c r="B184" s="63" t="s">
        <v>1260</v>
      </c>
      <c r="C184" s="63" t="s">
        <v>67</v>
      </c>
      <c r="D184" s="63" t="s">
        <v>1306</v>
      </c>
      <c r="E184" s="63">
        <v>275.0</v>
      </c>
      <c r="F184" s="63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3" t="s">
        <v>1259</v>
      </c>
      <c r="B185" s="63" t="s">
        <v>1260</v>
      </c>
      <c r="C185" s="63" t="s">
        <v>26</v>
      </c>
      <c r="D185" s="63" t="s">
        <v>1307</v>
      </c>
      <c r="E185" s="63">
        <v>498.0</v>
      </c>
      <c r="F185" s="63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3" t="s">
        <v>1259</v>
      </c>
      <c r="B186" s="63" t="s">
        <v>1260</v>
      </c>
      <c r="C186" s="63" t="s">
        <v>131</v>
      </c>
      <c r="D186" s="63" t="s">
        <v>1308</v>
      </c>
      <c r="E186" s="63">
        <v>224.0</v>
      </c>
      <c r="F186" s="63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3" t="s">
        <v>1259</v>
      </c>
      <c r="B187" s="63" t="s">
        <v>1260</v>
      </c>
      <c r="C187" s="63" t="s">
        <v>29</v>
      </c>
      <c r="D187" s="63" t="s">
        <v>1309</v>
      </c>
      <c r="E187" s="63">
        <v>499.0</v>
      </c>
      <c r="F187" s="63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3" t="s">
        <v>1259</v>
      </c>
      <c r="B188" s="63" t="s">
        <v>1260</v>
      </c>
      <c r="C188" s="63" t="s">
        <v>616</v>
      </c>
      <c r="D188" s="63" t="s">
        <v>1310</v>
      </c>
      <c r="E188" s="63">
        <v>242.0</v>
      </c>
      <c r="F188" s="63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3" t="s">
        <v>1259</v>
      </c>
      <c r="B189" s="63" t="s">
        <v>1260</v>
      </c>
      <c r="C189" s="63" t="s">
        <v>50</v>
      </c>
      <c r="D189" s="63" t="s">
        <v>1311</v>
      </c>
      <c r="E189" s="63">
        <v>505.0</v>
      </c>
      <c r="F189" s="63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3" t="s">
        <v>1259</v>
      </c>
      <c r="B190" s="63" t="s">
        <v>1260</v>
      </c>
      <c r="C190" s="63" t="s">
        <v>92</v>
      </c>
      <c r="D190" s="63" t="s">
        <v>1312</v>
      </c>
      <c r="E190" s="63">
        <v>253.0</v>
      </c>
      <c r="F190" s="63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3" t="s">
        <v>1259</v>
      </c>
      <c r="B191" s="63" t="s">
        <v>1260</v>
      </c>
      <c r="C191" s="63" t="s">
        <v>31</v>
      </c>
      <c r="D191" s="63" t="s">
        <v>1313</v>
      </c>
      <c r="E191" s="63">
        <v>500.0</v>
      </c>
      <c r="F191" s="63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3" t="s">
        <v>1259</v>
      </c>
      <c r="B192" s="63" t="s">
        <v>1260</v>
      </c>
      <c r="C192" s="63" t="s">
        <v>573</v>
      </c>
      <c r="D192" s="63" t="s">
        <v>1314</v>
      </c>
      <c r="E192" s="63">
        <v>218.0</v>
      </c>
      <c r="F192" s="63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3" t="s">
        <v>1259</v>
      </c>
      <c r="B193" s="63" t="s">
        <v>1260</v>
      </c>
      <c r="C193" s="63" t="s">
        <v>646</v>
      </c>
      <c r="D193" s="63" t="s">
        <v>1315</v>
      </c>
      <c r="E193" s="63">
        <v>258.0</v>
      </c>
      <c r="F193" s="63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3" t="s">
        <v>1259</v>
      </c>
      <c r="B194" s="63" t="s">
        <v>1260</v>
      </c>
      <c r="C194" s="63" t="s">
        <v>73</v>
      </c>
      <c r="D194" s="63" t="s">
        <v>1316</v>
      </c>
      <c r="E194" s="63">
        <v>273.0</v>
      </c>
      <c r="F194" s="63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3" t="s">
        <v>1259</v>
      </c>
      <c r="B195" s="63" t="s">
        <v>1260</v>
      </c>
      <c r="C195" s="63" t="s">
        <v>571</v>
      </c>
      <c r="D195" s="63" t="s">
        <v>1317</v>
      </c>
      <c r="E195" s="63">
        <v>217.0</v>
      </c>
      <c r="F195" s="63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3" t="s">
        <v>1259</v>
      </c>
      <c r="B196" s="63" t="s">
        <v>1260</v>
      </c>
      <c r="C196" s="63" t="s">
        <v>34</v>
      </c>
      <c r="D196" s="63" t="s">
        <v>1318</v>
      </c>
      <c r="E196" s="63">
        <v>501.0</v>
      </c>
      <c r="F196" s="63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3" t="s">
        <v>1259</v>
      </c>
      <c r="B197" s="63" t="s">
        <v>1260</v>
      </c>
      <c r="C197" s="63" t="s">
        <v>593</v>
      </c>
      <c r="D197" s="63" t="s">
        <v>1319</v>
      </c>
      <c r="E197" s="63">
        <v>229.0</v>
      </c>
      <c r="F197" s="63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3" t="s">
        <v>1259</v>
      </c>
      <c r="B198" s="63" t="s">
        <v>1260</v>
      </c>
      <c r="C198" s="63" t="s">
        <v>655</v>
      </c>
      <c r="D198" s="63" t="s">
        <v>1320</v>
      </c>
      <c r="E198" s="63">
        <v>264.0</v>
      </c>
      <c r="F198" s="63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3" t="s">
        <v>1259</v>
      </c>
      <c r="B199" s="63" t="s">
        <v>1260</v>
      </c>
      <c r="C199" s="63" t="s">
        <v>1321</v>
      </c>
      <c r="D199" s="63" t="s">
        <v>1322</v>
      </c>
      <c r="E199" s="63">
        <v>261.0</v>
      </c>
      <c r="F199" s="63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3" t="s">
        <v>1259</v>
      </c>
      <c r="B200" s="63" t="s">
        <v>1260</v>
      </c>
      <c r="C200" s="63" t="s">
        <v>102</v>
      </c>
      <c r="D200" s="63" t="s">
        <v>1323</v>
      </c>
      <c r="E200" s="63">
        <v>243.0</v>
      </c>
      <c r="F200" s="63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3" t="s">
        <v>1259</v>
      </c>
      <c r="B201" s="63" t="s">
        <v>1260</v>
      </c>
      <c r="C201" s="63" t="s">
        <v>630</v>
      </c>
      <c r="D201" s="63" t="s">
        <v>1324</v>
      </c>
      <c r="E201" s="63">
        <v>250.0</v>
      </c>
      <c r="F201" s="63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3" t="s">
        <v>1259</v>
      </c>
      <c r="B202" s="63" t="s">
        <v>1260</v>
      </c>
      <c r="C202" s="63" t="s">
        <v>1325</v>
      </c>
      <c r="D202" s="63"/>
      <c r="E202" s="63">
        <v>494.0</v>
      </c>
      <c r="F202" s="63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3" t="s">
        <v>1259</v>
      </c>
      <c r="B203" s="63" t="s">
        <v>1260</v>
      </c>
      <c r="C203" s="63" t="s">
        <v>21</v>
      </c>
      <c r="D203" s="63" t="s">
        <v>1326</v>
      </c>
      <c r="E203" s="63">
        <v>497.0</v>
      </c>
      <c r="F203" s="63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3" t="s">
        <v>1259</v>
      </c>
      <c r="B204" s="63" t="s">
        <v>1260</v>
      </c>
      <c r="C204" s="63" t="s">
        <v>75</v>
      </c>
      <c r="D204" s="63"/>
      <c r="E204" s="63">
        <v>272.0</v>
      </c>
      <c r="F204" s="63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3" t="s">
        <v>1259</v>
      </c>
      <c r="B205" s="63" t="s">
        <v>1260</v>
      </c>
      <c r="C205" s="63" t="s">
        <v>597</v>
      </c>
      <c r="D205" s="63" t="s">
        <v>1327</v>
      </c>
      <c r="E205" s="63">
        <v>231.0</v>
      </c>
      <c r="F205" s="63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3" t="s">
        <v>1259</v>
      </c>
      <c r="B206" s="63" t="s">
        <v>1260</v>
      </c>
      <c r="C206" s="63" t="s">
        <v>938</v>
      </c>
      <c r="D206" s="63"/>
      <c r="E206" s="63">
        <v>409.0</v>
      </c>
      <c r="F206" s="63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3" t="s">
        <v>1259</v>
      </c>
      <c r="B207" s="63" t="s">
        <v>1260</v>
      </c>
      <c r="C207" s="63" t="s">
        <v>922</v>
      </c>
      <c r="D207" s="63"/>
      <c r="E207" s="63">
        <v>401.0</v>
      </c>
      <c r="F207" s="63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3" t="s">
        <v>1259</v>
      </c>
      <c r="B208" s="63" t="s">
        <v>1260</v>
      </c>
      <c r="C208" s="63" t="s">
        <v>914</v>
      </c>
      <c r="D208" s="63"/>
      <c r="E208" s="63">
        <v>397.0</v>
      </c>
      <c r="F208" s="63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3" t="s">
        <v>1259</v>
      </c>
      <c r="B209" s="63" t="s">
        <v>1260</v>
      </c>
      <c r="C209" s="63" t="s">
        <v>932</v>
      </c>
      <c r="D209" s="63"/>
      <c r="E209" s="63">
        <v>406.0</v>
      </c>
      <c r="F209" s="63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3" t="s">
        <v>1259</v>
      </c>
      <c r="B210" s="63" t="s">
        <v>1260</v>
      </c>
      <c r="C210" s="63" t="s">
        <v>930</v>
      </c>
      <c r="D210" s="63"/>
      <c r="E210" s="63">
        <v>405.0</v>
      </c>
      <c r="F210" s="63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3" t="s">
        <v>1259</v>
      </c>
      <c r="B211" s="63" t="s">
        <v>1260</v>
      </c>
      <c r="C211" s="63" t="s">
        <v>936</v>
      </c>
      <c r="D211" s="63"/>
      <c r="E211" s="63">
        <v>408.0</v>
      </c>
      <c r="F211" s="63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3" t="s">
        <v>1259</v>
      </c>
      <c r="B212" s="63" t="s">
        <v>1260</v>
      </c>
      <c r="C212" s="63" t="s">
        <v>918</v>
      </c>
      <c r="D212" s="63"/>
      <c r="E212" s="63">
        <v>399.0</v>
      </c>
      <c r="F212" s="63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3" t="s">
        <v>1259</v>
      </c>
      <c r="B213" s="63" t="s">
        <v>1260</v>
      </c>
      <c r="C213" s="63" t="s">
        <v>916</v>
      </c>
      <c r="D213" s="63"/>
      <c r="E213" s="63">
        <v>398.0</v>
      </c>
      <c r="F213" s="63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3" t="s">
        <v>1259</v>
      </c>
      <c r="B214" s="63" t="s">
        <v>1260</v>
      </c>
      <c r="C214" s="63" t="s">
        <v>940</v>
      </c>
      <c r="D214" s="63"/>
      <c r="E214" s="63">
        <v>410.0</v>
      </c>
      <c r="F214" s="63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3" t="s">
        <v>1259</v>
      </c>
      <c r="B215" s="63" t="s">
        <v>1260</v>
      </c>
      <c r="C215" s="63" t="s">
        <v>934</v>
      </c>
      <c r="D215" s="63"/>
      <c r="E215" s="63">
        <v>407.0</v>
      </c>
      <c r="F215" s="63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3" t="s">
        <v>1259</v>
      </c>
      <c r="B216" s="63" t="s">
        <v>1260</v>
      </c>
      <c r="C216" s="63" t="s">
        <v>928</v>
      </c>
      <c r="D216" s="63"/>
      <c r="E216" s="63">
        <v>404.0</v>
      </c>
      <c r="F216" s="63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3" t="s">
        <v>1259</v>
      </c>
      <c r="B217" s="63" t="s">
        <v>1260</v>
      </c>
      <c r="C217" s="63" t="s">
        <v>924</v>
      </c>
      <c r="D217" s="63"/>
      <c r="E217" s="63">
        <v>402.0</v>
      </c>
      <c r="F217" s="63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3" t="s">
        <v>1259</v>
      </c>
      <c r="B218" s="63" t="s">
        <v>1260</v>
      </c>
      <c r="C218" s="63" t="s">
        <v>926</v>
      </c>
      <c r="D218" s="63"/>
      <c r="E218" s="63">
        <v>403.0</v>
      </c>
      <c r="F218" s="63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3" t="s">
        <v>1259</v>
      </c>
      <c r="B219" s="63" t="s">
        <v>1260</v>
      </c>
      <c r="C219" s="63" t="s">
        <v>920</v>
      </c>
      <c r="D219" s="63"/>
      <c r="E219" s="63">
        <v>400.0</v>
      </c>
      <c r="F219" s="63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3" t="s">
        <v>1259</v>
      </c>
      <c r="B220" s="63" t="s">
        <v>1260</v>
      </c>
      <c r="C220" s="63" t="s">
        <v>595</v>
      </c>
      <c r="D220" s="63" t="s">
        <v>1328</v>
      </c>
      <c r="E220" s="63">
        <v>230.0</v>
      </c>
      <c r="F220" s="63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3" t="s">
        <v>1259</v>
      </c>
      <c r="B221" s="63" t="s">
        <v>1260</v>
      </c>
      <c r="C221" s="63" t="s">
        <v>38</v>
      </c>
      <c r="D221" s="63" t="s">
        <v>1329</v>
      </c>
      <c r="E221" s="63">
        <v>502.0</v>
      </c>
      <c r="F221" s="63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3" t="s">
        <v>1259</v>
      </c>
      <c r="B222" s="63" t="s">
        <v>1260</v>
      </c>
      <c r="C222" s="63" t="s">
        <v>1106</v>
      </c>
      <c r="D222" s="63"/>
      <c r="E222" s="63">
        <v>493.0</v>
      </c>
      <c r="F222" s="63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3" t="s">
        <v>1259</v>
      </c>
      <c r="B223" s="63" t="s">
        <v>1260</v>
      </c>
      <c r="C223" s="63" t="s">
        <v>657</v>
      </c>
      <c r="D223" s="63" t="s">
        <v>1330</v>
      </c>
      <c r="E223" s="63">
        <v>265.0</v>
      </c>
      <c r="F223" s="63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3" t="s">
        <v>1259</v>
      </c>
      <c r="B224" s="63" t="s">
        <v>1260</v>
      </c>
      <c r="C224" s="63" t="s">
        <v>599</v>
      </c>
      <c r="D224" s="63" t="s">
        <v>1331</v>
      </c>
      <c r="E224" s="63">
        <v>232.0</v>
      </c>
      <c r="F224" s="63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3" t="s">
        <v>1332</v>
      </c>
      <c r="B225" s="63" t="s">
        <v>1333</v>
      </c>
      <c r="C225" s="63" t="s">
        <v>532</v>
      </c>
      <c r="D225" s="63" t="s">
        <v>1334</v>
      </c>
      <c r="E225" s="63">
        <v>200.0</v>
      </c>
      <c r="F225" s="63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3" t="s">
        <v>1332</v>
      </c>
      <c r="B226" s="63" t="s">
        <v>1333</v>
      </c>
      <c r="C226" s="63" t="s">
        <v>537</v>
      </c>
      <c r="D226" s="63" t="s">
        <v>1335</v>
      </c>
      <c r="E226" s="63">
        <v>202.0</v>
      </c>
      <c r="F226" s="63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3" t="s">
        <v>1332</v>
      </c>
      <c r="B227" s="63" t="s">
        <v>1333</v>
      </c>
      <c r="C227" s="63" t="s">
        <v>535</v>
      </c>
      <c r="D227" s="63" t="s">
        <v>1336</v>
      </c>
      <c r="E227" s="63">
        <v>201.0</v>
      </c>
      <c r="F227" s="63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3" t="s">
        <v>1332</v>
      </c>
      <c r="B228" s="63" t="s">
        <v>1333</v>
      </c>
      <c r="C228" s="63" t="s">
        <v>314</v>
      </c>
      <c r="D228" s="63" t="s">
        <v>1337</v>
      </c>
      <c r="E228" s="63">
        <v>98.0</v>
      </c>
      <c r="F228" s="63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3" t="s">
        <v>1332</v>
      </c>
      <c r="B229" s="63" t="s">
        <v>1333</v>
      </c>
      <c r="C229" s="63" t="s">
        <v>540</v>
      </c>
      <c r="D229" s="63" t="s">
        <v>1338</v>
      </c>
      <c r="E229" s="63">
        <v>203.0</v>
      </c>
      <c r="F229" s="63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3" t="s">
        <v>1332</v>
      </c>
      <c r="B230" s="63" t="s">
        <v>1333</v>
      </c>
      <c r="C230" s="63" t="s">
        <v>310</v>
      </c>
      <c r="D230" s="63" t="s">
        <v>1339</v>
      </c>
      <c r="E230" s="63">
        <v>96.0</v>
      </c>
      <c r="F230" s="63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3" t="s">
        <v>1332</v>
      </c>
      <c r="B231" s="63" t="s">
        <v>1333</v>
      </c>
      <c r="C231" s="63" t="s">
        <v>312</v>
      </c>
      <c r="D231" s="63" t="s">
        <v>1340</v>
      </c>
      <c r="E231" s="63">
        <v>97.0</v>
      </c>
      <c r="F231" s="63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3" t="s">
        <v>1332</v>
      </c>
      <c r="B232" s="63" t="s">
        <v>1333</v>
      </c>
      <c r="C232" s="63" t="s">
        <v>528</v>
      </c>
      <c r="D232" s="63" t="s">
        <v>1341</v>
      </c>
      <c r="E232" s="63">
        <v>198.0</v>
      </c>
      <c r="F232" s="63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3" t="s">
        <v>1332</v>
      </c>
      <c r="B233" s="63" t="s">
        <v>1333</v>
      </c>
      <c r="C233" s="63" t="s">
        <v>530</v>
      </c>
      <c r="D233" s="63" t="s">
        <v>1342</v>
      </c>
      <c r="E233" s="63">
        <v>199.0</v>
      </c>
      <c r="F233" s="63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3" t="s">
        <v>1343</v>
      </c>
      <c r="B234" s="63" t="s">
        <v>1344</v>
      </c>
      <c r="C234" s="63" t="s">
        <v>908</v>
      </c>
      <c r="D234" s="63" t="s">
        <v>1345</v>
      </c>
      <c r="E234" s="63">
        <v>394.0</v>
      </c>
      <c r="F234" s="63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3" t="s">
        <v>1343</v>
      </c>
      <c r="B235" s="63" t="s">
        <v>1344</v>
      </c>
      <c r="C235" s="63" t="s">
        <v>545</v>
      </c>
      <c r="D235" s="63" t="s">
        <v>1346</v>
      </c>
      <c r="E235" s="63">
        <v>205.0</v>
      </c>
      <c r="F235" s="63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3" t="s">
        <v>1343</v>
      </c>
      <c r="B236" s="63" t="s">
        <v>1344</v>
      </c>
      <c r="C236" s="63" t="s">
        <v>219</v>
      </c>
      <c r="D236" s="63" t="s">
        <v>1347</v>
      </c>
      <c r="E236" s="63">
        <v>62.0</v>
      </c>
      <c r="F236" s="63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3" t="s">
        <v>1343</v>
      </c>
      <c r="B237" s="63" t="s">
        <v>1344</v>
      </c>
      <c r="C237" s="63" t="s">
        <v>231</v>
      </c>
      <c r="D237" s="63" t="s">
        <v>1348</v>
      </c>
      <c r="E237" s="63">
        <v>65.0</v>
      </c>
      <c r="F237" s="63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3" t="s">
        <v>1343</v>
      </c>
      <c r="B238" s="63" t="s">
        <v>1344</v>
      </c>
      <c r="C238" s="63" t="s">
        <v>216</v>
      </c>
      <c r="D238" s="63" t="s">
        <v>1349</v>
      </c>
      <c r="E238" s="63">
        <v>61.0</v>
      </c>
      <c r="F238" s="63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3" t="s">
        <v>1343</v>
      </c>
      <c r="B239" s="63" t="s">
        <v>1344</v>
      </c>
      <c r="C239" s="63" t="s">
        <v>212</v>
      </c>
      <c r="D239" s="63" t="s">
        <v>1350</v>
      </c>
      <c r="E239" s="63">
        <v>60.0</v>
      </c>
      <c r="F239" s="63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3" t="s">
        <v>1343</v>
      </c>
      <c r="B240" s="63" t="s">
        <v>1344</v>
      </c>
      <c r="C240" s="63" t="s">
        <v>227</v>
      </c>
      <c r="D240" s="63" t="s">
        <v>1351</v>
      </c>
      <c r="E240" s="63">
        <v>64.0</v>
      </c>
      <c r="F240" s="63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3" t="s">
        <v>1343</v>
      </c>
      <c r="B241" s="63" t="s">
        <v>1344</v>
      </c>
      <c r="C241" s="63" t="s">
        <v>223</v>
      </c>
      <c r="D241" s="63" t="s">
        <v>1352</v>
      </c>
      <c r="E241" s="63">
        <v>63.0</v>
      </c>
      <c r="F241" s="63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3" t="s">
        <v>1343</v>
      </c>
      <c r="B242" s="63" t="s">
        <v>1344</v>
      </c>
      <c r="C242" s="63" t="s">
        <v>550</v>
      </c>
      <c r="D242" s="63" t="s">
        <v>1353</v>
      </c>
      <c r="E242" s="63">
        <v>208.0</v>
      </c>
      <c r="F242" s="63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3" t="s">
        <v>1343</v>
      </c>
      <c r="B243" s="63" t="s">
        <v>1344</v>
      </c>
      <c r="C243" s="63" t="s">
        <v>910</v>
      </c>
      <c r="D243" s="63" t="s">
        <v>1354</v>
      </c>
      <c r="E243" s="63">
        <v>395.0</v>
      </c>
      <c r="F243" s="63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3" t="s">
        <v>1343</v>
      </c>
      <c r="B244" s="63" t="s">
        <v>1344</v>
      </c>
      <c r="C244" s="63" t="s">
        <v>265</v>
      </c>
      <c r="D244" s="63" t="s">
        <v>1355</v>
      </c>
      <c r="E244" s="63">
        <v>75.0</v>
      </c>
      <c r="F244" s="63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3" t="s">
        <v>1343</v>
      </c>
      <c r="B245" s="63" t="s">
        <v>1344</v>
      </c>
      <c r="C245" s="63" t="s">
        <v>785</v>
      </c>
      <c r="D245" s="63" t="s">
        <v>1356</v>
      </c>
      <c r="E245" s="63">
        <v>333.0</v>
      </c>
      <c r="F245" s="63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3" t="s">
        <v>1343</v>
      </c>
      <c r="B246" s="63" t="s">
        <v>1344</v>
      </c>
      <c r="C246" s="63" t="s">
        <v>783</v>
      </c>
      <c r="D246" s="63" t="s">
        <v>1357</v>
      </c>
      <c r="E246" s="63">
        <v>332.0</v>
      </c>
      <c r="F246" s="63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3" t="s">
        <v>1343</v>
      </c>
      <c r="B247" s="63" t="s">
        <v>1344</v>
      </c>
      <c r="C247" s="63" t="s">
        <v>245</v>
      </c>
      <c r="D247" s="63" t="s">
        <v>1358</v>
      </c>
      <c r="E247" s="63">
        <v>69.0</v>
      </c>
      <c r="F247" s="63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3" t="s">
        <v>1343</v>
      </c>
      <c r="B248" s="63" t="s">
        <v>1344</v>
      </c>
      <c r="C248" s="63" t="s">
        <v>249</v>
      </c>
      <c r="D248" s="63" t="s">
        <v>1359</v>
      </c>
      <c r="E248" s="63">
        <v>70.0</v>
      </c>
      <c r="F248" s="63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3" t="s">
        <v>1343</v>
      </c>
      <c r="B249" s="63" t="s">
        <v>1344</v>
      </c>
      <c r="C249" s="63" t="s">
        <v>137</v>
      </c>
      <c r="D249" s="63" t="s">
        <v>1360</v>
      </c>
      <c r="E249" s="63">
        <v>206.0</v>
      </c>
      <c r="F249" s="63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3" t="s">
        <v>1343</v>
      </c>
      <c r="B250" s="63" t="s">
        <v>1344</v>
      </c>
      <c r="C250" s="63" t="s">
        <v>164</v>
      </c>
      <c r="D250" s="63" t="s">
        <v>1361</v>
      </c>
      <c r="E250" s="63">
        <v>295.0</v>
      </c>
      <c r="F250" s="63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3" t="s">
        <v>1343</v>
      </c>
      <c r="B251" s="63" t="s">
        <v>1344</v>
      </c>
      <c r="C251" s="63" t="s">
        <v>261</v>
      </c>
      <c r="D251" s="63" t="s">
        <v>1362</v>
      </c>
      <c r="E251" s="63">
        <v>74.0</v>
      </c>
      <c r="F251" s="63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3" t="s">
        <v>1343</v>
      </c>
      <c r="B252" s="63" t="s">
        <v>1344</v>
      </c>
      <c r="C252" s="63" t="s">
        <v>252</v>
      </c>
      <c r="D252" s="63" t="s">
        <v>1363</v>
      </c>
      <c r="E252" s="63">
        <v>71.0</v>
      </c>
      <c r="F252" s="63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3" t="s">
        <v>1343</v>
      </c>
      <c r="B253" s="63" t="s">
        <v>1344</v>
      </c>
      <c r="C253" s="63" t="s">
        <v>258</v>
      </c>
      <c r="D253" s="63" t="s">
        <v>1364</v>
      </c>
      <c r="E253" s="63">
        <v>73.0</v>
      </c>
      <c r="F253" s="63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3" t="s">
        <v>1343</v>
      </c>
      <c r="B254" s="63" t="s">
        <v>1344</v>
      </c>
      <c r="C254" s="63" t="s">
        <v>255</v>
      </c>
      <c r="D254" s="63" t="s">
        <v>1365</v>
      </c>
      <c r="E254" s="63">
        <v>72.0</v>
      </c>
      <c r="F254" s="63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3" t="s">
        <v>1343</v>
      </c>
      <c r="B255" s="63" t="s">
        <v>1344</v>
      </c>
      <c r="C255" s="63" t="s">
        <v>829</v>
      </c>
      <c r="D255" s="63" t="s">
        <v>1366</v>
      </c>
      <c r="E255" s="63">
        <v>355.0</v>
      </c>
      <c r="F255" s="63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3" t="s">
        <v>1343</v>
      </c>
      <c r="B256" s="63" t="s">
        <v>1344</v>
      </c>
      <c r="C256" s="63" t="s">
        <v>705</v>
      </c>
      <c r="D256" s="63" t="s">
        <v>1367</v>
      </c>
      <c r="E256" s="63">
        <v>294.0</v>
      </c>
      <c r="F256" s="63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3" t="s">
        <v>1343</v>
      </c>
      <c r="B257" s="63" t="s">
        <v>1344</v>
      </c>
      <c r="C257" s="63" t="s">
        <v>831</v>
      </c>
      <c r="D257" s="63" t="s">
        <v>1368</v>
      </c>
      <c r="E257" s="63">
        <v>356.0</v>
      </c>
      <c r="F257" s="63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3" t="s">
        <v>1343</v>
      </c>
      <c r="B258" s="63" t="s">
        <v>1344</v>
      </c>
      <c r="C258" s="63" t="s">
        <v>172</v>
      </c>
      <c r="D258" s="63" t="s">
        <v>1369</v>
      </c>
      <c r="E258" s="63">
        <v>47.0</v>
      </c>
      <c r="F258" s="63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3" t="s">
        <v>1343</v>
      </c>
      <c r="B259" s="63" t="s">
        <v>1344</v>
      </c>
      <c r="C259" s="63" t="s">
        <v>548</v>
      </c>
      <c r="D259" s="63" t="s">
        <v>1370</v>
      </c>
      <c r="E259" s="63">
        <v>207.0</v>
      </c>
      <c r="F259" s="63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3" t="s">
        <v>1343</v>
      </c>
      <c r="B260" s="63" t="s">
        <v>1344</v>
      </c>
      <c r="C260" s="63" t="s">
        <v>552</v>
      </c>
      <c r="D260" s="63" t="s">
        <v>1371</v>
      </c>
      <c r="E260" s="63">
        <v>209.0</v>
      </c>
      <c r="F260" s="63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3" t="s">
        <v>1343</v>
      </c>
      <c r="B261" s="63" t="s">
        <v>1344</v>
      </c>
      <c r="C261" s="63" t="s">
        <v>271</v>
      </c>
      <c r="D261" s="63" t="s">
        <v>1372</v>
      </c>
      <c r="E261" s="63">
        <v>78.0</v>
      </c>
      <c r="F261" s="63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3" t="s">
        <v>1343</v>
      </c>
      <c r="B262" s="63" t="s">
        <v>1344</v>
      </c>
      <c r="C262" s="63" t="s">
        <v>708</v>
      </c>
      <c r="D262" s="63" t="s">
        <v>1373</v>
      </c>
      <c r="E262" s="63">
        <v>296.0</v>
      </c>
      <c r="F262" s="63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3" t="s">
        <v>1343</v>
      </c>
      <c r="B263" s="63" t="s">
        <v>1344</v>
      </c>
      <c r="C263" s="63" t="s">
        <v>243</v>
      </c>
      <c r="D263" s="63" t="s">
        <v>1374</v>
      </c>
      <c r="E263" s="63">
        <v>68.0</v>
      </c>
      <c r="F263" s="63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3" t="s">
        <v>1343</v>
      </c>
      <c r="B264" s="63" t="s">
        <v>1344</v>
      </c>
      <c r="C264" s="63" t="s">
        <v>269</v>
      </c>
      <c r="D264" s="63" t="s">
        <v>1375</v>
      </c>
      <c r="E264" s="63">
        <v>77.0</v>
      </c>
      <c r="F264" s="63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3" t="s">
        <v>1343</v>
      </c>
      <c r="B265" s="63" t="s">
        <v>1344</v>
      </c>
      <c r="C265" s="63" t="s">
        <v>542</v>
      </c>
      <c r="D265" s="63" t="s">
        <v>1376</v>
      </c>
      <c r="E265" s="63">
        <v>204.0</v>
      </c>
      <c r="F265" s="63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3" t="s">
        <v>1343</v>
      </c>
      <c r="B266" s="63" t="s">
        <v>1344</v>
      </c>
      <c r="C266" s="63" t="s">
        <v>235</v>
      </c>
      <c r="D266" s="63" t="s">
        <v>1377</v>
      </c>
      <c r="E266" s="63">
        <v>66.0</v>
      </c>
      <c r="F266" s="63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3" t="s">
        <v>1343</v>
      </c>
      <c r="B267" s="63" t="s">
        <v>1344</v>
      </c>
      <c r="C267" s="63" t="s">
        <v>846</v>
      </c>
      <c r="D267" s="63"/>
      <c r="E267" s="63">
        <v>363.0</v>
      </c>
      <c r="F267" s="63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3" t="s">
        <v>1343</v>
      </c>
      <c r="B268" s="63" t="s">
        <v>1344</v>
      </c>
      <c r="C268" s="63" t="s">
        <v>239</v>
      </c>
      <c r="D268" s="63" t="s">
        <v>1378</v>
      </c>
      <c r="E268" s="63">
        <v>67.0</v>
      </c>
      <c r="F268" s="63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3" t="s">
        <v>1343</v>
      </c>
      <c r="B269" s="63" t="s">
        <v>1344</v>
      </c>
      <c r="C269" s="63" t="s">
        <v>267</v>
      </c>
      <c r="D269" s="63" t="s">
        <v>1379</v>
      </c>
      <c r="E269" s="63">
        <v>76.0</v>
      </c>
      <c r="F269" s="63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3" t="s">
        <v>1380</v>
      </c>
      <c r="B270" s="63" t="s">
        <v>1381</v>
      </c>
      <c r="C270" s="63" t="s">
        <v>569</v>
      </c>
      <c r="D270" s="63" t="s">
        <v>1382</v>
      </c>
      <c r="E270" s="63">
        <v>216.0</v>
      </c>
      <c r="F270" s="63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3" t="s">
        <v>1380</v>
      </c>
      <c r="B271" s="63" t="s">
        <v>1381</v>
      </c>
      <c r="C271" s="63" t="s">
        <v>854</v>
      </c>
      <c r="D271" s="63" t="s">
        <v>1383</v>
      </c>
      <c r="E271" s="63">
        <v>367.0</v>
      </c>
      <c r="F271" s="63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3" t="s">
        <v>1380</v>
      </c>
      <c r="B272" s="63" t="s">
        <v>1381</v>
      </c>
      <c r="C272" s="63" t="s">
        <v>729</v>
      </c>
      <c r="D272" s="63" t="s">
        <v>1384</v>
      </c>
      <c r="E272" s="63">
        <v>306.0</v>
      </c>
      <c r="F272" s="63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3" t="s">
        <v>1380</v>
      </c>
      <c r="B273" s="63" t="s">
        <v>1381</v>
      </c>
      <c r="C273" s="63" t="s">
        <v>176</v>
      </c>
      <c r="D273" s="63" t="s">
        <v>1385</v>
      </c>
      <c r="E273" s="63">
        <v>293.0</v>
      </c>
      <c r="F273" s="63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3" t="s">
        <v>1380</v>
      </c>
      <c r="B274" s="63" t="s">
        <v>1381</v>
      </c>
      <c r="C274" s="63" t="s">
        <v>737</v>
      </c>
      <c r="D274" s="63" t="s">
        <v>1386</v>
      </c>
      <c r="E274" s="63">
        <v>310.0</v>
      </c>
      <c r="F274" s="63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3" t="s">
        <v>1380</v>
      </c>
      <c r="B275" s="63" t="s">
        <v>1381</v>
      </c>
      <c r="C275" s="63" t="s">
        <v>733</v>
      </c>
      <c r="D275" s="63" t="s">
        <v>1387</v>
      </c>
      <c r="E275" s="63">
        <v>308.0</v>
      </c>
      <c r="F275" s="63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3" t="s">
        <v>1380</v>
      </c>
      <c r="B276" s="63" t="s">
        <v>1381</v>
      </c>
      <c r="C276" s="63" t="s">
        <v>687</v>
      </c>
      <c r="D276" s="63" t="s">
        <v>1388</v>
      </c>
      <c r="E276" s="63">
        <v>284.0</v>
      </c>
      <c r="F276" s="63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3" t="s">
        <v>1380</v>
      </c>
      <c r="B277" s="63" t="s">
        <v>1381</v>
      </c>
      <c r="C277" s="63" t="s">
        <v>691</v>
      </c>
      <c r="D277" s="63" t="s">
        <v>1389</v>
      </c>
      <c r="E277" s="63">
        <v>286.0</v>
      </c>
      <c r="F277" s="63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3" t="s">
        <v>1380</v>
      </c>
      <c r="B278" s="63" t="s">
        <v>1381</v>
      </c>
      <c r="C278" s="63" t="s">
        <v>693</v>
      </c>
      <c r="D278" s="63" t="s">
        <v>1390</v>
      </c>
      <c r="E278" s="63">
        <v>287.0</v>
      </c>
      <c r="F278" s="63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3" t="s">
        <v>1380</v>
      </c>
      <c r="B279" s="63" t="s">
        <v>1381</v>
      </c>
      <c r="C279" s="63" t="s">
        <v>856</v>
      </c>
      <c r="D279" s="63" t="s">
        <v>1391</v>
      </c>
      <c r="E279" s="63">
        <v>368.0</v>
      </c>
      <c r="F279" s="63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3" t="s">
        <v>1380</v>
      </c>
      <c r="B280" s="63" t="s">
        <v>1381</v>
      </c>
      <c r="C280" s="63" t="s">
        <v>755</v>
      </c>
      <c r="D280" s="63" t="s">
        <v>1392</v>
      </c>
      <c r="E280" s="63">
        <v>319.0</v>
      </c>
      <c r="F280" s="63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3" t="s">
        <v>1380</v>
      </c>
      <c r="B281" s="63" t="s">
        <v>1381</v>
      </c>
      <c r="C281" s="63" t="s">
        <v>689</v>
      </c>
      <c r="D281" s="63" t="s">
        <v>1393</v>
      </c>
      <c r="E281" s="63">
        <v>285.0</v>
      </c>
      <c r="F281" s="63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3" t="s">
        <v>1380</v>
      </c>
      <c r="B282" s="63" t="s">
        <v>1381</v>
      </c>
      <c r="C282" s="63" t="s">
        <v>565</v>
      </c>
      <c r="D282" s="63" t="s">
        <v>1394</v>
      </c>
      <c r="E282" s="63">
        <v>214.0</v>
      </c>
      <c r="F282" s="63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3" t="s">
        <v>1380</v>
      </c>
      <c r="B283" s="63" t="s">
        <v>1381</v>
      </c>
      <c r="C283" s="63" t="s">
        <v>757</v>
      </c>
      <c r="D283" s="63" t="s">
        <v>1395</v>
      </c>
      <c r="E283" s="63">
        <v>320.0</v>
      </c>
      <c r="F283" s="63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3" t="s">
        <v>1380</v>
      </c>
      <c r="B284" s="63" t="s">
        <v>1381</v>
      </c>
      <c r="C284" s="63" t="s">
        <v>557</v>
      </c>
      <c r="D284" s="63" t="s">
        <v>1396</v>
      </c>
      <c r="E284" s="63">
        <v>211.0</v>
      </c>
      <c r="F284" s="63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3" t="s">
        <v>1380</v>
      </c>
      <c r="B285" s="63" t="s">
        <v>1381</v>
      </c>
      <c r="C285" s="63" t="s">
        <v>1060</v>
      </c>
      <c r="D285" s="63" t="s">
        <v>1397</v>
      </c>
      <c r="E285" s="63">
        <v>470.0</v>
      </c>
      <c r="F285" s="63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3" t="s">
        <v>1380</v>
      </c>
      <c r="B286" s="63" t="s">
        <v>1381</v>
      </c>
      <c r="C286" s="63" t="s">
        <v>153</v>
      </c>
      <c r="D286" s="63" t="s">
        <v>1398</v>
      </c>
      <c r="E286" s="63">
        <v>280.0</v>
      </c>
      <c r="F286" s="63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3" t="s">
        <v>1380</v>
      </c>
      <c r="B287" s="63" t="s">
        <v>1381</v>
      </c>
      <c r="C287" s="63" t="s">
        <v>567</v>
      </c>
      <c r="D287" s="63" t="s">
        <v>1399</v>
      </c>
      <c r="E287" s="63">
        <v>215.0</v>
      </c>
      <c r="F287" s="63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3" t="s">
        <v>1380</v>
      </c>
      <c r="B288" s="63" t="s">
        <v>1381</v>
      </c>
      <c r="C288" s="63" t="s">
        <v>735</v>
      </c>
      <c r="D288" s="63" t="s">
        <v>1400</v>
      </c>
      <c r="E288" s="63">
        <v>309.0</v>
      </c>
      <c r="F288" s="63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3" t="s">
        <v>1380</v>
      </c>
      <c r="B289" s="63" t="s">
        <v>1381</v>
      </c>
      <c r="C289" s="63" t="s">
        <v>749</v>
      </c>
      <c r="D289" s="63" t="s">
        <v>1401</v>
      </c>
      <c r="E289" s="63">
        <v>316.0</v>
      </c>
      <c r="F289" s="63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3" t="s">
        <v>1380</v>
      </c>
      <c r="B290" s="63" t="s">
        <v>1381</v>
      </c>
      <c r="C290" s="63" t="s">
        <v>751</v>
      </c>
      <c r="D290" s="63" t="s">
        <v>1402</v>
      </c>
      <c r="E290" s="63">
        <v>317.0</v>
      </c>
      <c r="F290" s="63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3" t="s">
        <v>1380</v>
      </c>
      <c r="B291" s="63" t="s">
        <v>1381</v>
      </c>
      <c r="C291" s="63" t="s">
        <v>753</v>
      </c>
      <c r="D291" s="63" t="s">
        <v>1403</v>
      </c>
      <c r="E291" s="63">
        <v>318.0</v>
      </c>
      <c r="F291" s="63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3" t="s">
        <v>1380</v>
      </c>
      <c r="B292" s="63" t="s">
        <v>1381</v>
      </c>
      <c r="C292" s="63" t="s">
        <v>171</v>
      </c>
      <c r="D292" s="63"/>
      <c r="E292" s="63">
        <v>283.0</v>
      </c>
      <c r="F292" s="63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3" t="s">
        <v>1380</v>
      </c>
      <c r="B293" s="63" t="s">
        <v>1381</v>
      </c>
      <c r="C293" s="63" t="s">
        <v>186</v>
      </c>
      <c r="D293" s="63" t="s">
        <v>1404</v>
      </c>
      <c r="E293" s="63">
        <v>279.0</v>
      </c>
      <c r="F293" s="63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3" t="s">
        <v>1380</v>
      </c>
      <c r="B294" s="63" t="s">
        <v>1381</v>
      </c>
      <c r="C294" s="63" t="s">
        <v>695</v>
      </c>
      <c r="D294" s="63" t="s">
        <v>1405</v>
      </c>
      <c r="E294" s="63">
        <v>288.0</v>
      </c>
      <c r="F294" s="63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3" t="s">
        <v>1380</v>
      </c>
      <c r="B295" s="63" t="s">
        <v>1381</v>
      </c>
      <c r="C295" s="63" t="s">
        <v>743</v>
      </c>
      <c r="D295" s="63" t="s">
        <v>1406</v>
      </c>
      <c r="E295" s="63">
        <v>313.0</v>
      </c>
      <c r="F295" s="63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3" t="s">
        <v>1380</v>
      </c>
      <c r="B296" s="63" t="s">
        <v>1381</v>
      </c>
      <c r="C296" s="63" t="s">
        <v>739</v>
      </c>
      <c r="D296" s="63" t="s">
        <v>1407</v>
      </c>
      <c r="E296" s="63">
        <v>311.0</v>
      </c>
      <c r="F296" s="63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3" t="s">
        <v>1380</v>
      </c>
      <c r="B297" s="63" t="s">
        <v>1381</v>
      </c>
      <c r="C297" s="63" t="s">
        <v>560</v>
      </c>
      <c r="D297" s="63" t="s">
        <v>1408</v>
      </c>
      <c r="E297" s="63">
        <v>212.0</v>
      </c>
      <c r="F297" s="63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3" t="s">
        <v>1380</v>
      </c>
      <c r="B298" s="63" t="s">
        <v>1381</v>
      </c>
      <c r="C298" s="63" t="s">
        <v>747</v>
      </c>
      <c r="D298" s="63" t="s">
        <v>1409</v>
      </c>
      <c r="E298" s="63">
        <v>315.0</v>
      </c>
      <c r="F298" s="63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3" t="s">
        <v>1380</v>
      </c>
      <c r="B299" s="63" t="s">
        <v>1381</v>
      </c>
      <c r="C299" s="63" t="s">
        <v>745</v>
      </c>
      <c r="D299" s="63" t="s">
        <v>1410</v>
      </c>
      <c r="E299" s="63">
        <v>314.0</v>
      </c>
      <c r="F299" s="63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3" t="s">
        <v>1380</v>
      </c>
      <c r="B300" s="63" t="s">
        <v>1381</v>
      </c>
      <c r="C300" s="63" t="s">
        <v>563</v>
      </c>
      <c r="D300" s="63" t="s">
        <v>1411</v>
      </c>
      <c r="E300" s="63">
        <v>213.0</v>
      </c>
      <c r="F300" s="63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3" t="s">
        <v>1380</v>
      </c>
      <c r="B301" s="63" t="s">
        <v>1381</v>
      </c>
      <c r="C301" s="63" t="s">
        <v>741</v>
      </c>
      <c r="D301" s="63" t="s">
        <v>1412</v>
      </c>
      <c r="E301" s="63">
        <v>312.0</v>
      </c>
      <c r="F301" s="63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3" t="s">
        <v>1380</v>
      </c>
      <c r="B302" s="63" t="s">
        <v>1381</v>
      </c>
      <c r="C302" s="63" t="s">
        <v>731</v>
      </c>
      <c r="D302" s="63" t="s">
        <v>1413</v>
      </c>
      <c r="E302" s="63">
        <v>307.0</v>
      </c>
      <c r="F302" s="63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3" t="s">
        <v>1414</v>
      </c>
      <c r="B303" s="63" t="s">
        <v>1415</v>
      </c>
      <c r="C303" s="63" t="s">
        <v>305</v>
      </c>
      <c r="D303" s="63" t="s">
        <v>1416</v>
      </c>
      <c r="E303" s="63">
        <v>93.0</v>
      </c>
      <c r="F303" s="63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3" t="s">
        <v>1414</v>
      </c>
      <c r="B304" s="63" t="s">
        <v>1415</v>
      </c>
      <c r="C304" s="63" t="s">
        <v>303</v>
      </c>
      <c r="D304" s="63" t="s">
        <v>1417</v>
      </c>
      <c r="E304" s="63">
        <v>92.0</v>
      </c>
      <c r="F304" s="63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3" t="s">
        <v>1414</v>
      </c>
      <c r="B305" s="63" t="s">
        <v>1415</v>
      </c>
      <c r="C305" s="63" t="s">
        <v>890</v>
      </c>
      <c r="D305" s="63" t="s">
        <v>1418</v>
      </c>
      <c r="E305" s="63">
        <v>385.0</v>
      </c>
      <c r="F305" s="63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3" t="s">
        <v>1414</v>
      </c>
      <c r="B306" s="63" t="s">
        <v>1415</v>
      </c>
      <c r="C306" s="63" t="s">
        <v>274</v>
      </c>
      <c r="D306" s="63" t="s">
        <v>1419</v>
      </c>
      <c r="E306" s="63">
        <v>79.0</v>
      </c>
      <c r="F306" s="63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3" t="s">
        <v>1414</v>
      </c>
      <c r="B307" s="63" t="s">
        <v>1415</v>
      </c>
      <c r="C307" s="63" t="s">
        <v>207</v>
      </c>
      <c r="D307" s="63" t="s">
        <v>1420</v>
      </c>
      <c r="E307" s="63">
        <v>59.0</v>
      </c>
      <c r="F307" s="63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3" t="s">
        <v>1414</v>
      </c>
      <c r="B308" s="63" t="s">
        <v>1415</v>
      </c>
      <c r="C308" s="63" t="s">
        <v>717</v>
      </c>
      <c r="D308" s="63" t="s">
        <v>1421</v>
      </c>
      <c r="E308" s="63">
        <v>300.0</v>
      </c>
      <c r="F308" s="63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3" t="s">
        <v>1414</v>
      </c>
      <c r="B309" s="63" t="s">
        <v>1415</v>
      </c>
      <c r="C309" s="63" t="s">
        <v>715</v>
      </c>
      <c r="D309" s="63" t="s">
        <v>1422</v>
      </c>
      <c r="E309" s="63">
        <v>299.0</v>
      </c>
      <c r="F309" s="63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3" t="s">
        <v>1414</v>
      </c>
      <c r="B310" s="63" t="s">
        <v>1415</v>
      </c>
      <c r="C310" s="63" t="s">
        <v>301</v>
      </c>
      <c r="D310" s="63" t="s">
        <v>1423</v>
      </c>
      <c r="E310" s="63">
        <v>91.0</v>
      </c>
      <c r="F310" s="63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3" t="s">
        <v>1414</v>
      </c>
      <c r="B311" s="63" t="s">
        <v>1415</v>
      </c>
      <c r="C311" s="63" t="s">
        <v>721</v>
      </c>
      <c r="D311" s="63" t="s">
        <v>1424</v>
      </c>
      <c r="E311" s="63">
        <v>302.0</v>
      </c>
      <c r="F311" s="63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3" t="s">
        <v>1414</v>
      </c>
      <c r="B312" s="63" t="s">
        <v>1415</v>
      </c>
      <c r="C312" s="63" t="s">
        <v>719</v>
      </c>
      <c r="D312" s="63" t="s">
        <v>1425</v>
      </c>
      <c r="E312" s="63">
        <v>301.0</v>
      </c>
      <c r="F312" s="63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3" t="s">
        <v>1414</v>
      </c>
      <c r="B313" s="63" t="s">
        <v>1415</v>
      </c>
      <c r="C313" s="63" t="s">
        <v>289</v>
      </c>
      <c r="D313" s="63" t="s">
        <v>1426</v>
      </c>
      <c r="E313" s="63">
        <v>85.0</v>
      </c>
      <c r="F313" s="63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3" t="s">
        <v>1414</v>
      </c>
      <c r="B314" s="63" t="s">
        <v>1415</v>
      </c>
      <c r="C314" s="63" t="s">
        <v>1427</v>
      </c>
      <c r="D314" s="63" t="s">
        <v>1428</v>
      </c>
      <c r="E314" s="63">
        <v>388.0</v>
      </c>
      <c r="F314" s="63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3" t="s">
        <v>1414</v>
      </c>
      <c r="B315" s="63" t="s">
        <v>1415</v>
      </c>
      <c r="C315" s="63" t="s">
        <v>144</v>
      </c>
      <c r="D315" s="63" t="s">
        <v>1429</v>
      </c>
      <c r="E315" s="63">
        <v>36.0</v>
      </c>
      <c r="F315" s="63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3" t="s">
        <v>1414</v>
      </c>
      <c r="B316" s="63" t="s">
        <v>1415</v>
      </c>
      <c r="C316" s="63" t="s">
        <v>280</v>
      </c>
      <c r="D316" s="63" t="s">
        <v>1430</v>
      </c>
      <c r="E316" s="63">
        <v>81.0</v>
      </c>
      <c r="F316" s="63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3" t="s">
        <v>1414</v>
      </c>
      <c r="B317" s="63" t="s">
        <v>1415</v>
      </c>
      <c r="C317" s="63" t="s">
        <v>287</v>
      </c>
      <c r="D317" s="63" t="s">
        <v>1431</v>
      </c>
      <c r="E317" s="63">
        <v>84.0</v>
      </c>
      <c r="F317" s="63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3" t="s">
        <v>1414</v>
      </c>
      <c r="B318" s="63" t="s">
        <v>1415</v>
      </c>
      <c r="C318" s="63" t="s">
        <v>285</v>
      </c>
      <c r="D318" s="63" t="s">
        <v>1432</v>
      </c>
      <c r="E318" s="63">
        <v>83.0</v>
      </c>
      <c r="F318" s="63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3" t="s">
        <v>1414</v>
      </c>
      <c r="B319" s="63" t="s">
        <v>1415</v>
      </c>
      <c r="C319" s="63" t="s">
        <v>277</v>
      </c>
      <c r="D319" s="63" t="s">
        <v>1433</v>
      </c>
      <c r="E319" s="63">
        <v>80.0</v>
      </c>
      <c r="F319" s="63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3" t="s">
        <v>1414</v>
      </c>
      <c r="B320" s="63" t="s">
        <v>1415</v>
      </c>
      <c r="C320" s="63" t="s">
        <v>283</v>
      </c>
      <c r="D320" s="63" t="s">
        <v>1434</v>
      </c>
      <c r="E320" s="63">
        <v>82.0</v>
      </c>
      <c r="F320" s="63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3" t="s">
        <v>1414</v>
      </c>
      <c r="B321" s="63" t="s">
        <v>1415</v>
      </c>
      <c r="C321" s="63" t="s">
        <v>1054</v>
      </c>
      <c r="D321" s="63" t="s">
        <v>1435</v>
      </c>
      <c r="E321" s="63">
        <v>467.0</v>
      </c>
      <c r="F321" s="63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3" t="s">
        <v>1414</v>
      </c>
      <c r="B322" s="63" t="s">
        <v>1415</v>
      </c>
      <c r="C322" s="63" t="s">
        <v>1058</v>
      </c>
      <c r="D322" s="63" t="s">
        <v>1443</v>
      </c>
      <c r="E322" s="63">
        <v>469.0</v>
      </c>
      <c r="F322" s="63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3" t="s">
        <v>1414</v>
      </c>
      <c r="B323" s="63" t="s">
        <v>1415</v>
      </c>
      <c r="C323" s="63" t="s">
        <v>156</v>
      </c>
      <c r="D323" s="63" t="s">
        <v>1452</v>
      </c>
      <c r="E323" s="63">
        <v>41.0</v>
      </c>
      <c r="F323" s="63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3" t="s">
        <v>1414</v>
      </c>
      <c r="B324" s="63" t="s">
        <v>1415</v>
      </c>
      <c r="C324" s="63" t="s">
        <v>158</v>
      </c>
      <c r="D324" s="63" t="s">
        <v>1460</v>
      </c>
      <c r="E324" s="63">
        <v>42.0</v>
      </c>
      <c r="F324" s="63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3" t="s">
        <v>1414</v>
      </c>
      <c r="B325" s="63" t="s">
        <v>1415</v>
      </c>
      <c r="C325" s="63" t="s">
        <v>894</v>
      </c>
      <c r="D325" s="63" t="s">
        <v>1466</v>
      </c>
      <c r="E325" s="63">
        <v>387.0</v>
      </c>
      <c r="F325" s="63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3" t="s">
        <v>1414</v>
      </c>
      <c r="B326" s="63" t="s">
        <v>1415</v>
      </c>
      <c r="C326" s="63" t="s">
        <v>1056</v>
      </c>
      <c r="D326" s="63" t="s">
        <v>1478</v>
      </c>
      <c r="E326" s="63">
        <v>468.0</v>
      </c>
      <c r="F326" s="63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3" t="s">
        <v>1414</v>
      </c>
      <c r="B327" s="63" t="s">
        <v>1415</v>
      </c>
      <c r="C327" s="63" t="s">
        <v>554</v>
      </c>
      <c r="D327" s="63" t="s">
        <v>1482</v>
      </c>
      <c r="E327" s="63">
        <v>210.0</v>
      </c>
      <c r="F327" s="63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3" t="s">
        <v>1484</v>
      </c>
      <c r="B328" s="63" t="s">
        <v>1485</v>
      </c>
      <c r="C328" s="63" t="s">
        <v>777</v>
      </c>
      <c r="D328" s="63" t="s">
        <v>1489</v>
      </c>
      <c r="E328" s="63">
        <v>329.0</v>
      </c>
      <c r="F328" s="63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3" t="s">
        <v>1484</v>
      </c>
      <c r="B329" s="63" t="s">
        <v>1485</v>
      </c>
      <c r="C329" s="63" t="s">
        <v>297</v>
      </c>
      <c r="D329" s="63" t="s">
        <v>1495</v>
      </c>
      <c r="E329" s="63">
        <v>89.0</v>
      </c>
      <c r="F329" s="63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3" t="s">
        <v>1484</v>
      </c>
      <c r="B330" s="63" t="s">
        <v>1485</v>
      </c>
      <c r="C330" s="63" t="s">
        <v>130</v>
      </c>
      <c r="D330" s="63" t="s">
        <v>1490</v>
      </c>
      <c r="E330" s="63">
        <v>32.0</v>
      </c>
      <c r="F330" s="63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3" t="s">
        <v>1484</v>
      </c>
      <c r="B331" s="63" t="s">
        <v>1485</v>
      </c>
      <c r="C331" s="63" t="s">
        <v>125</v>
      </c>
      <c r="D331" s="63" t="s">
        <v>1488</v>
      </c>
      <c r="E331" s="63">
        <v>31.0</v>
      </c>
      <c r="F331" s="63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3" t="s">
        <v>1484</v>
      </c>
      <c r="B332" s="63" t="s">
        <v>1485</v>
      </c>
      <c r="C332" s="63" t="s">
        <v>133</v>
      </c>
      <c r="D332" s="63" t="s">
        <v>1491</v>
      </c>
      <c r="E332" s="63">
        <v>33.0</v>
      </c>
      <c r="F332" s="63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3" t="s">
        <v>1484</v>
      </c>
      <c r="B333" s="63" t="s">
        <v>1485</v>
      </c>
      <c r="C333" s="63" t="s">
        <v>299</v>
      </c>
      <c r="D333" s="63" t="s">
        <v>1505</v>
      </c>
      <c r="E333" s="63">
        <v>90.0</v>
      </c>
      <c r="F333" s="63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3" t="s">
        <v>1484</v>
      </c>
      <c r="B334" s="63" t="s">
        <v>1485</v>
      </c>
      <c r="C334" s="63" t="s">
        <v>770</v>
      </c>
      <c r="D334" s="63" t="s">
        <v>1508</v>
      </c>
      <c r="E334" s="63">
        <v>326.0</v>
      </c>
      <c r="F334" s="63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3" t="s">
        <v>1484</v>
      </c>
      <c r="B335" s="63" t="s">
        <v>1485</v>
      </c>
      <c r="C335" s="63" t="s">
        <v>317</v>
      </c>
      <c r="D335" s="63" t="s">
        <v>1512</v>
      </c>
      <c r="E335" s="63">
        <v>99.0</v>
      </c>
      <c r="F335" s="63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3" t="s">
        <v>1484</v>
      </c>
      <c r="B336" s="63" t="s">
        <v>1485</v>
      </c>
      <c r="C336" s="63" t="s">
        <v>142</v>
      </c>
      <c r="D336" s="63" t="s">
        <v>1496</v>
      </c>
      <c r="E336" s="63">
        <v>35.0</v>
      </c>
      <c r="F336" s="63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3" t="s">
        <v>1484</v>
      </c>
      <c r="B337" s="63" t="s">
        <v>1485</v>
      </c>
      <c r="C337" s="63" t="s">
        <v>900</v>
      </c>
      <c r="D337" s="63" t="s">
        <v>1518</v>
      </c>
      <c r="E337" s="63">
        <v>390.0</v>
      </c>
      <c r="F337" s="63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3" t="s">
        <v>1484</v>
      </c>
      <c r="B338" s="63" t="s">
        <v>1485</v>
      </c>
      <c r="C338" s="63" t="s">
        <v>1088</v>
      </c>
      <c r="D338" s="63" t="s">
        <v>1519</v>
      </c>
      <c r="E338" s="63">
        <v>484.0</v>
      </c>
      <c r="F338" s="63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3" t="s">
        <v>1484</v>
      </c>
      <c r="B339" s="63" t="s">
        <v>1485</v>
      </c>
      <c r="C339" s="63" t="s">
        <v>892</v>
      </c>
      <c r="D339" s="63"/>
      <c r="E339" s="63">
        <v>386.0</v>
      </c>
      <c r="F339" s="63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3" t="s">
        <v>1484</v>
      </c>
      <c r="B340" s="63" t="s">
        <v>1485</v>
      </c>
      <c r="C340" s="63" t="s">
        <v>148</v>
      </c>
      <c r="D340" s="63" t="s">
        <v>1498</v>
      </c>
      <c r="E340" s="63">
        <v>38.0</v>
      </c>
      <c r="F340" s="63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3" t="s">
        <v>1484</v>
      </c>
      <c r="B341" s="63" t="s">
        <v>1485</v>
      </c>
      <c r="C341" s="63" t="s">
        <v>773</v>
      </c>
      <c r="D341" s="63"/>
      <c r="E341" s="63">
        <v>327.0</v>
      </c>
      <c r="F341" s="63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3" t="s">
        <v>1484</v>
      </c>
      <c r="B342" s="63" t="s">
        <v>1485</v>
      </c>
      <c r="C342" s="63" t="s">
        <v>119</v>
      </c>
      <c r="D342" s="63" t="s">
        <v>1487</v>
      </c>
      <c r="E342" s="63">
        <v>30.0</v>
      </c>
      <c r="F342" s="63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3" t="s">
        <v>1484</v>
      </c>
      <c r="B343" s="63" t="s">
        <v>1485</v>
      </c>
      <c r="C343" s="63" t="s">
        <v>906</v>
      </c>
      <c r="D343" s="63" t="s">
        <v>1520</v>
      </c>
      <c r="E343" s="63">
        <v>393.0</v>
      </c>
      <c r="F343" s="63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3" t="s">
        <v>1484</v>
      </c>
      <c r="B344" s="63" t="s">
        <v>1485</v>
      </c>
      <c r="C344" s="63" t="s">
        <v>116</v>
      </c>
      <c r="D344" s="63" t="s">
        <v>1486</v>
      </c>
      <c r="E344" s="63">
        <v>29.0</v>
      </c>
      <c r="F344" s="63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3" t="s">
        <v>1484</v>
      </c>
      <c r="B345" s="63" t="s">
        <v>1485</v>
      </c>
      <c r="C345" s="63" t="s">
        <v>904</v>
      </c>
      <c r="D345" s="63" t="s">
        <v>1524</v>
      </c>
      <c r="E345" s="63">
        <v>392.0</v>
      </c>
      <c r="F345" s="63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3" t="s">
        <v>1484</v>
      </c>
      <c r="B346" s="63" t="s">
        <v>1485</v>
      </c>
      <c r="C346" s="63" t="s">
        <v>775</v>
      </c>
      <c r="D346" s="63" t="s">
        <v>1526</v>
      </c>
      <c r="E346" s="63">
        <v>328.0</v>
      </c>
      <c r="F346" s="63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3" t="s">
        <v>1492</v>
      </c>
      <c r="B347" s="63" t="s">
        <v>1493</v>
      </c>
      <c r="C347" s="63" t="s">
        <v>512</v>
      </c>
      <c r="D347" s="63" t="s">
        <v>1528</v>
      </c>
      <c r="E347" s="63">
        <v>190.0</v>
      </c>
      <c r="F347" s="63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3" t="s">
        <v>1492</v>
      </c>
      <c r="B348" s="63" t="s">
        <v>1493</v>
      </c>
      <c r="C348" s="63" t="s">
        <v>168</v>
      </c>
      <c r="D348" s="63" t="s">
        <v>1504</v>
      </c>
      <c r="E348" s="63">
        <v>46.0</v>
      </c>
      <c r="F348" s="63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3" t="s">
        <v>1492</v>
      </c>
      <c r="B349" s="63" t="s">
        <v>1493</v>
      </c>
      <c r="C349" s="63" t="s">
        <v>517</v>
      </c>
      <c r="D349" s="63" t="s">
        <v>1535</v>
      </c>
      <c r="E349" s="63">
        <v>192.0</v>
      </c>
      <c r="F349" s="63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3" t="s">
        <v>1492</v>
      </c>
      <c r="B350" s="63" t="s">
        <v>1493</v>
      </c>
      <c r="C350" s="63" t="s">
        <v>515</v>
      </c>
      <c r="D350" s="63" t="s">
        <v>1540</v>
      </c>
      <c r="E350" s="63">
        <v>191.0</v>
      </c>
      <c r="F350" s="63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3" t="s">
        <v>1492</v>
      </c>
      <c r="B351" s="63" t="s">
        <v>1493</v>
      </c>
      <c r="C351" s="63" t="s">
        <v>510</v>
      </c>
      <c r="D351" s="63" t="s">
        <v>1541</v>
      </c>
      <c r="E351" s="63">
        <v>189.0</v>
      </c>
      <c r="F351" s="63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3" t="s">
        <v>1492</v>
      </c>
      <c r="B352" s="63" t="s">
        <v>1493</v>
      </c>
      <c r="C352" s="63" t="s">
        <v>520</v>
      </c>
      <c r="D352" s="63" t="s">
        <v>1542</v>
      </c>
      <c r="E352" s="63">
        <v>193.0</v>
      </c>
      <c r="F352" s="63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3" t="s">
        <v>1492</v>
      </c>
      <c r="B353" s="63" t="s">
        <v>1493</v>
      </c>
      <c r="C353" s="63" t="s">
        <v>162</v>
      </c>
      <c r="D353" s="63" t="s">
        <v>1502</v>
      </c>
      <c r="E353" s="63">
        <v>44.0</v>
      </c>
      <c r="F353" s="63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3" t="s">
        <v>1492</v>
      </c>
      <c r="B354" s="63" t="s">
        <v>1493</v>
      </c>
      <c r="C354" s="63" t="s">
        <v>139</v>
      </c>
      <c r="D354" s="63" t="s">
        <v>1494</v>
      </c>
      <c r="E354" s="63">
        <v>34.0</v>
      </c>
      <c r="F354" s="63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3" t="s">
        <v>1492</v>
      </c>
      <c r="B355" s="63" t="s">
        <v>1493</v>
      </c>
      <c r="C355" s="63" t="s">
        <v>308</v>
      </c>
      <c r="D355" s="63" t="s">
        <v>1527</v>
      </c>
      <c r="E355" s="63">
        <v>95.0</v>
      </c>
      <c r="F355" s="63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3" t="s">
        <v>1492</v>
      </c>
      <c r="B356" s="63" t="s">
        <v>1493</v>
      </c>
      <c r="C356" s="63" t="s">
        <v>166</v>
      </c>
      <c r="D356" s="63" t="s">
        <v>1503</v>
      </c>
      <c r="E356" s="63">
        <v>45.0</v>
      </c>
      <c r="F356" s="63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3" t="s">
        <v>1492</v>
      </c>
      <c r="B357" s="63" t="s">
        <v>1493</v>
      </c>
      <c r="C357" s="63" t="s">
        <v>306</v>
      </c>
      <c r="D357" s="63" t="s">
        <v>1525</v>
      </c>
      <c r="E357" s="63">
        <v>94.0</v>
      </c>
      <c r="F357" s="63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3" t="s">
        <v>1543</v>
      </c>
      <c r="B358" s="63" t="s">
        <v>1544</v>
      </c>
      <c r="C358" s="63" t="s">
        <v>825</v>
      </c>
      <c r="D358" s="63" t="s">
        <v>1545</v>
      </c>
      <c r="E358" s="63">
        <v>352.0</v>
      </c>
      <c r="F358" s="63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3" t="s">
        <v>1543</v>
      </c>
      <c r="B359" s="63" t="s">
        <v>1544</v>
      </c>
      <c r="C359" s="63" t="s">
        <v>489</v>
      </c>
      <c r="D359" s="63" t="s">
        <v>1546</v>
      </c>
      <c r="E359" s="63">
        <v>179.0</v>
      </c>
      <c r="F359" s="63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3" t="s">
        <v>1543</v>
      </c>
      <c r="B360" s="63" t="s">
        <v>1544</v>
      </c>
      <c r="C360" s="63" t="s">
        <v>486</v>
      </c>
      <c r="D360" s="63" t="s">
        <v>1547</v>
      </c>
      <c r="E360" s="63">
        <v>178.0</v>
      </c>
      <c r="F360" s="63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3" t="s">
        <v>1543</v>
      </c>
      <c r="B361" s="63" t="s">
        <v>1544</v>
      </c>
      <c r="C361" s="63" t="s">
        <v>466</v>
      </c>
      <c r="D361" s="63" t="s">
        <v>1548</v>
      </c>
      <c r="E361" s="63">
        <v>170.0</v>
      </c>
      <c r="F361" s="63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3" t="s">
        <v>1543</v>
      </c>
      <c r="B362" s="63" t="s">
        <v>1544</v>
      </c>
      <c r="C362" s="63" t="s">
        <v>491</v>
      </c>
      <c r="D362" s="63" t="s">
        <v>1549</v>
      </c>
      <c r="E362" s="63">
        <v>180.0</v>
      </c>
      <c r="F362" s="63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3" t="s">
        <v>1543</v>
      </c>
      <c r="B363" s="63" t="s">
        <v>1544</v>
      </c>
      <c r="C363" s="63" t="s">
        <v>479</v>
      </c>
      <c r="D363" s="63" t="s">
        <v>1550</v>
      </c>
      <c r="E363" s="63">
        <v>175.0</v>
      </c>
      <c r="F363" s="63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3" t="s">
        <v>1543</v>
      </c>
      <c r="B364" s="63" t="s">
        <v>1544</v>
      </c>
      <c r="C364" s="63" t="s">
        <v>764</v>
      </c>
      <c r="D364" s="63" t="s">
        <v>1551</v>
      </c>
      <c r="E364" s="63">
        <v>323.0</v>
      </c>
      <c r="F364" s="63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3" t="s">
        <v>1543</v>
      </c>
      <c r="B365" s="63" t="s">
        <v>1544</v>
      </c>
      <c r="C365" s="63" t="s">
        <v>501</v>
      </c>
      <c r="D365" s="63" t="s">
        <v>1555</v>
      </c>
      <c r="E365" s="63">
        <v>185.0</v>
      </c>
      <c r="F365" s="63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3" t="s">
        <v>1543</v>
      </c>
      <c r="B366" s="63" t="s">
        <v>1544</v>
      </c>
      <c r="C366" s="63" t="s">
        <v>493</v>
      </c>
      <c r="D366" s="63" t="s">
        <v>1558</v>
      </c>
      <c r="E366" s="63">
        <v>181.0</v>
      </c>
      <c r="F366" s="63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3" t="s">
        <v>1543</v>
      </c>
      <c r="B367" s="63" t="s">
        <v>1544</v>
      </c>
      <c r="C367" s="63" t="s">
        <v>762</v>
      </c>
      <c r="D367" s="63" t="s">
        <v>1563</v>
      </c>
      <c r="E367" s="63">
        <v>322.0</v>
      </c>
      <c r="F367" s="63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3" t="s">
        <v>1543</v>
      </c>
      <c r="B368" s="63" t="s">
        <v>1544</v>
      </c>
      <c r="C368" s="63" t="s">
        <v>469</v>
      </c>
      <c r="D368" s="63" t="s">
        <v>1559</v>
      </c>
      <c r="E368" s="63">
        <v>171.0</v>
      </c>
      <c r="F368" s="63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3" t="s">
        <v>1543</v>
      </c>
      <c r="B369" s="63" t="s">
        <v>1544</v>
      </c>
      <c r="C369" s="63" t="s">
        <v>471</v>
      </c>
      <c r="D369" s="63" t="s">
        <v>1560</v>
      </c>
      <c r="E369" s="63">
        <v>172.0</v>
      </c>
      <c r="F369" s="63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3" t="s">
        <v>1543</v>
      </c>
      <c r="B370" s="63" t="s">
        <v>1544</v>
      </c>
      <c r="C370" s="63" t="s">
        <v>506</v>
      </c>
      <c r="D370" s="63" t="s">
        <v>1569</v>
      </c>
      <c r="E370" s="63">
        <v>187.0</v>
      </c>
      <c r="F370" s="63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3" t="s">
        <v>1543</v>
      </c>
      <c r="B371" s="63" t="s">
        <v>1544</v>
      </c>
      <c r="C371" s="63" t="s">
        <v>504</v>
      </c>
      <c r="D371" s="63" t="s">
        <v>1570</v>
      </c>
      <c r="E371" s="63">
        <v>186.0</v>
      </c>
      <c r="F371" s="63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3" t="s">
        <v>1543</v>
      </c>
      <c r="B372" s="63" t="s">
        <v>1544</v>
      </c>
      <c r="C372" s="63" t="s">
        <v>508</v>
      </c>
      <c r="D372" s="63" t="s">
        <v>1570</v>
      </c>
      <c r="E372" s="63">
        <v>188.0</v>
      </c>
      <c r="F372" s="63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3" t="s">
        <v>1543</v>
      </c>
      <c r="B373" s="63" t="s">
        <v>1544</v>
      </c>
      <c r="C373" s="63" t="s">
        <v>787</v>
      </c>
      <c r="D373" s="63" t="s">
        <v>1572</v>
      </c>
      <c r="E373" s="63">
        <v>334.0</v>
      </c>
      <c r="F373" s="63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3" t="s">
        <v>1543</v>
      </c>
      <c r="B374" s="63" t="s">
        <v>1544</v>
      </c>
      <c r="C374" s="63" t="s">
        <v>451</v>
      </c>
      <c r="D374" s="63" t="s">
        <v>1552</v>
      </c>
      <c r="E374" s="63">
        <v>165.0</v>
      </c>
      <c r="F374" s="63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3" t="s">
        <v>1543</v>
      </c>
      <c r="B375" s="63" t="s">
        <v>1544</v>
      </c>
      <c r="C375" s="63" t="s">
        <v>1576</v>
      </c>
      <c r="D375" s="63"/>
      <c r="E375" s="63">
        <v>324.0</v>
      </c>
      <c r="F375" s="63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3" t="s">
        <v>1543</v>
      </c>
      <c r="B376" s="63" t="s">
        <v>1544</v>
      </c>
      <c r="C376" s="63" t="s">
        <v>476</v>
      </c>
      <c r="D376" s="63" t="s">
        <v>1562</v>
      </c>
      <c r="E376" s="63">
        <v>174.0</v>
      </c>
      <c r="F376" s="63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3" t="s">
        <v>1543</v>
      </c>
      <c r="B377" s="63" t="s">
        <v>1544</v>
      </c>
      <c r="C377" s="63" t="s">
        <v>499</v>
      </c>
      <c r="D377" s="63" t="s">
        <v>1568</v>
      </c>
      <c r="E377" s="63">
        <v>184.0</v>
      </c>
      <c r="F377" s="63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3" t="s">
        <v>1543</v>
      </c>
      <c r="B378" s="63" t="s">
        <v>1544</v>
      </c>
      <c r="C378" s="63" t="s">
        <v>210</v>
      </c>
      <c r="D378" s="63" t="s">
        <v>1571</v>
      </c>
      <c r="E378" s="63">
        <v>194.0</v>
      </c>
      <c r="F378" s="63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3" t="s">
        <v>1543</v>
      </c>
      <c r="B379" s="63" t="s">
        <v>1544</v>
      </c>
      <c r="C379" s="63" t="s">
        <v>457</v>
      </c>
      <c r="D379" s="63" t="s">
        <v>1554</v>
      </c>
      <c r="E379" s="63">
        <v>167.0</v>
      </c>
      <c r="F379" s="63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3" t="s">
        <v>1543</v>
      </c>
      <c r="B380" s="63" t="s">
        <v>1544</v>
      </c>
      <c r="C380" s="63" t="s">
        <v>460</v>
      </c>
      <c r="D380" s="63" t="s">
        <v>1556</v>
      </c>
      <c r="E380" s="63">
        <v>168.0</v>
      </c>
      <c r="F380" s="63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3" t="s">
        <v>1543</v>
      </c>
      <c r="B381" s="63" t="s">
        <v>1544</v>
      </c>
      <c r="C381" s="63" t="s">
        <v>454</v>
      </c>
      <c r="D381" s="63" t="s">
        <v>1553</v>
      </c>
      <c r="E381" s="63">
        <v>166.0</v>
      </c>
      <c r="F381" s="63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3" t="s">
        <v>1543</v>
      </c>
      <c r="B382" s="63" t="s">
        <v>1544</v>
      </c>
      <c r="C382" s="63" t="s">
        <v>713</v>
      </c>
      <c r="D382" s="63" t="s">
        <v>1577</v>
      </c>
      <c r="E382" s="63">
        <v>298.0</v>
      </c>
      <c r="F382" s="63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3" t="s">
        <v>1543</v>
      </c>
      <c r="B383" s="63" t="s">
        <v>1544</v>
      </c>
      <c r="C383" s="63" t="s">
        <v>483</v>
      </c>
      <c r="D383" s="63" t="s">
        <v>1565</v>
      </c>
      <c r="E383" s="63">
        <v>177.0</v>
      </c>
      <c r="F383" s="63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3" t="s">
        <v>1543</v>
      </c>
      <c r="B384" s="63" t="s">
        <v>1544</v>
      </c>
      <c r="C384" s="63" t="s">
        <v>463</v>
      </c>
      <c r="D384" s="63" t="s">
        <v>1557</v>
      </c>
      <c r="E384" s="63">
        <v>169.0</v>
      </c>
      <c r="F384" s="63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3" t="s">
        <v>1543</v>
      </c>
      <c r="B385" s="63" t="s">
        <v>1544</v>
      </c>
      <c r="C385" s="63" t="s">
        <v>473</v>
      </c>
      <c r="D385" s="63" t="s">
        <v>1561</v>
      </c>
      <c r="E385" s="63">
        <v>173.0</v>
      </c>
      <c r="F385" s="63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3" t="s">
        <v>1543</v>
      </c>
      <c r="B386" s="63" t="s">
        <v>1544</v>
      </c>
      <c r="C386" s="63" t="s">
        <v>495</v>
      </c>
      <c r="D386" s="63" t="s">
        <v>1566</v>
      </c>
      <c r="E386" s="63">
        <v>182.0</v>
      </c>
      <c r="F386" s="63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3" t="s">
        <v>1543</v>
      </c>
      <c r="B387" s="63" t="s">
        <v>1544</v>
      </c>
      <c r="C387" s="63" t="s">
        <v>497</v>
      </c>
      <c r="D387" s="63" t="s">
        <v>1567</v>
      </c>
      <c r="E387" s="63">
        <v>183.0</v>
      </c>
      <c r="F387" s="63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3" t="s">
        <v>1543</v>
      </c>
      <c r="B388" s="63" t="s">
        <v>1544</v>
      </c>
      <c r="C388" s="63" t="s">
        <v>522</v>
      </c>
      <c r="D388" s="63" t="s">
        <v>1573</v>
      </c>
      <c r="E388" s="63">
        <v>195.0</v>
      </c>
      <c r="F388" s="63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3" t="s">
        <v>1543</v>
      </c>
      <c r="B389" s="63" t="s">
        <v>1544</v>
      </c>
      <c r="C389" s="63" t="s">
        <v>481</v>
      </c>
      <c r="D389" s="63" t="s">
        <v>1564</v>
      </c>
      <c r="E389" s="63">
        <v>176.0</v>
      </c>
      <c r="F389" s="63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3" t="s">
        <v>1457</v>
      </c>
      <c r="B390" s="63" t="s">
        <v>1458</v>
      </c>
      <c r="C390" s="63" t="s">
        <v>336</v>
      </c>
      <c r="D390" s="63" t="s">
        <v>1538</v>
      </c>
      <c r="E390" s="63">
        <v>108.0</v>
      </c>
      <c r="F390" s="63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3" t="s">
        <v>1457</v>
      </c>
      <c r="B391" s="63" t="s">
        <v>1458</v>
      </c>
      <c r="C391" s="63" t="s">
        <v>334</v>
      </c>
      <c r="D391" s="63" t="s">
        <v>1537</v>
      </c>
      <c r="E391" s="63">
        <v>107.0</v>
      </c>
      <c r="F391" s="63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3" t="s">
        <v>1457</v>
      </c>
      <c r="B392" s="63" t="s">
        <v>1458</v>
      </c>
      <c r="C392" s="63" t="s">
        <v>332</v>
      </c>
      <c r="D392" s="63" t="s">
        <v>1536</v>
      </c>
      <c r="E392" s="63">
        <v>106.0</v>
      </c>
      <c r="F392" s="63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3" t="s">
        <v>1457</v>
      </c>
      <c r="B393" s="63" t="s">
        <v>1458</v>
      </c>
      <c r="C393" s="63" t="s">
        <v>329</v>
      </c>
      <c r="D393" s="63" t="s">
        <v>1534</v>
      </c>
      <c r="E393" s="63">
        <v>105.0</v>
      </c>
      <c r="F393" s="63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3" t="s">
        <v>1457</v>
      </c>
      <c r="B394" s="63" t="s">
        <v>1458</v>
      </c>
      <c r="C394" s="63" t="s">
        <v>725</v>
      </c>
      <c r="D394" s="63" t="s">
        <v>1588</v>
      </c>
      <c r="E394" s="63">
        <v>304.0</v>
      </c>
      <c r="F394" s="63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3" t="s">
        <v>1457</v>
      </c>
      <c r="B395" s="63" t="s">
        <v>1458</v>
      </c>
      <c r="C395" s="63" t="s">
        <v>727</v>
      </c>
      <c r="D395" s="63" t="s">
        <v>1592</v>
      </c>
      <c r="E395" s="63">
        <v>305.0</v>
      </c>
      <c r="F395" s="63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3" t="s">
        <v>1457</v>
      </c>
      <c r="B396" s="63" t="s">
        <v>1458</v>
      </c>
      <c r="C396" s="63" t="s">
        <v>81</v>
      </c>
      <c r="D396" s="63" t="s">
        <v>1465</v>
      </c>
      <c r="E396" s="63">
        <v>18.0</v>
      </c>
      <c r="F396" s="63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3" t="s">
        <v>1457</v>
      </c>
      <c r="B397" s="63" t="s">
        <v>1458</v>
      </c>
      <c r="C397" s="63" t="s">
        <v>77</v>
      </c>
      <c r="D397" s="63" t="s">
        <v>1464</v>
      </c>
      <c r="E397" s="63">
        <v>17.0</v>
      </c>
      <c r="F397" s="63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3" t="s">
        <v>1457</v>
      </c>
      <c r="B398" s="63" t="s">
        <v>1458</v>
      </c>
      <c r="C398" s="63" t="s">
        <v>72</v>
      </c>
      <c r="D398" s="63" t="s">
        <v>1463</v>
      </c>
      <c r="E398" s="63">
        <v>16.0</v>
      </c>
      <c r="F398" s="63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3" t="s">
        <v>1457</v>
      </c>
      <c r="B399" s="63" t="s">
        <v>1458</v>
      </c>
      <c r="C399" s="63" t="s">
        <v>827</v>
      </c>
      <c r="D399" s="63" t="s">
        <v>1609</v>
      </c>
      <c r="E399" s="63">
        <v>353.0</v>
      </c>
      <c r="F399" s="63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3" t="s">
        <v>1457</v>
      </c>
      <c r="B400" s="63" t="s">
        <v>1458</v>
      </c>
      <c r="C400" s="63" t="s">
        <v>795</v>
      </c>
      <c r="D400" s="63" t="s">
        <v>1610</v>
      </c>
      <c r="E400" s="63">
        <v>337.0</v>
      </c>
      <c r="F400" s="63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3" t="s">
        <v>1457</v>
      </c>
      <c r="B401" s="63" t="s">
        <v>1458</v>
      </c>
      <c r="C401" s="63" t="s">
        <v>61</v>
      </c>
      <c r="D401" s="63" t="s">
        <v>1459</v>
      </c>
      <c r="E401" s="63">
        <v>13.0</v>
      </c>
      <c r="F401" s="63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3" t="s">
        <v>1457</v>
      </c>
      <c r="B402" s="63" t="s">
        <v>1458</v>
      </c>
      <c r="C402" s="63" t="s">
        <v>69</v>
      </c>
      <c r="D402" s="63" t="s">
        <v>1462</v>
      </c>
      <c r="E402" s="63">
        <v>15.0</v>
      </c>
      <c r="F402" s="63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3" t="s">
        <v>1457</v>
      </c>
      <c r="B403" s="63" t="s">
        <v>1458</v>
      </c>
      <c r="C403" s="63" t="s">
        <v>65</v>
      </c>
      <c r="D403" s="63" t="s">
        <v>1461</v>
      </c>
      <c r="E403" s="63">
        <v>14.0</v>
      </c>
      <c r="F403" s="63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3" t="s">
        <v>1457</v>
      </c>
      <c r="B404" s="63" t="s">
        <v>1458</v>
      </c>
      <c r="C404" s="63" t="s">
        <v>160</v>
      </c>
      <c r="D404" s="63" t="s">
        <v>1501</v>
      </c>
      <c r="E404" s="63">
        <v>43.0</v>
      </c>
      <c r="F404" s="63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3" t="s">
        <v>1457</v>
      </c>
      <c r="B405" s="63" t="s">
        <v>1458</v>
      </c>
      <c r="C405" s="63" t="s">
        <v>338</v>
      </c>
      <c r="D405" s="63" t="s">
        <v>1539</v>
      </c>
      <c r="E405" s="63">
        <v>109.0</v>
      </c>
      <c r="F405" s="63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3" t="s">
        <v>1457</v>
      </c>
      <c r="B406" s="63" t="s">
        <v>1458</v>
      </c>
      <c r="C406" s="63" t="s">
        <v>792</v>
      </c>
      <c r="D406" s="63" t="s">
        <v>1617</v>
      </c>
      <c r="E406" s="63">
        <v>336.0</v>
      </c>
      <c r="F406" s="63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3" t="s">
        <v>1457</v>
      </c>
      <c r="B407" s="63" t="s">
        <v>1458</v>
      </c>
      <c r="C407" s="63" t="s">
        <v>327</v>
      </c>
      <c r="D407" s="63" t="s">
        <v>1533</v>
      </c>
      <c r="E407" s="63">
        <v>104.0</v>
      </c>
      <c r="F407" s="63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3" t="s">
        <v>1457</v>
      </c>
      <c r="B408" s="63" t="s">
        <v>1458</v>
      </c>
      <c r="C408" s="63" t="s">
        <v>325</v>
      </c>
      <c r="D408" s="63" t="s">
        <v>1532</v>
      </c>
      <c r="E408" s="63">
        <v>103.0</v>
      </c>
      <c r="F408" s="63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3" t="s">
        <v>1457</v>
      </c>
      <c r="B409" s="63" t="s">
        <v>1458</v>
      </c>
      <c r="C409" s="63" t="s">
        <v>323</v>
      </c>
      <c r="D409" s="63" t="s">
        <v>1531</v>
      </c>
      <c r="E409" s="63">
        <v>102.0</v>
      </c>
      <c r="F409" s="63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3" t="s">
        <v>1457</v>
      </c>
      <c r="B410" s="63" t="s">
        <v>1458</v>
      </c>
      <c r="C410" s="63" t="s">
        <v>319</v>
      </c>
      <c r="D410" s="63" t="s">
        <v>1529</v>
      </c>
      <c r="E410" s="63">
        <v>100.0</v>
      </c>
      <c r="F410" s="63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3" t="s">
        <v>1457</v>
      </c>
      <c r="B411" s="63" t="s">
        <v>1458</v>
      </c>
      <c r="C411" s="63" t="s">
        <v>321</v>
      </c>
      <c r="D411" s="63" t="s">
        <v>1530</v>
      </c>
      <c r="E411" s="63">
        <v>101.0</v>
      </c>
      <c r="F411" s="63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3" t="s">
        <v>1448</v>
      </c>
      <c r="B412" s="63" t="s">
        <v>1449</v>
      </c>
      <c r="C412" s="63" t="s">
        <v>888</v>
      </c>
      <c r="D412" s="63" t="s">
        <v>1621</v>
      </c>
      <c r="E412" s="63">
        <v>384.0</v>
      </c>
      <c r="F412" s="63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3" t="s">
        <v>1448</v>
      </c>
      <c r="B413" s="63" t="s">
        <v>1449</v>
      </c>
      <c r="C413" s="63" t="s">
        <v>44</v>
      </c>
      <c r="D413" s="63" t="s">
        <v>1451</v>
      </c>
      <c r="E413" s="63">
        <v>9.0</v>
      </c>
      <c r="F413" s="63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3" t="s">
        <v>1448</v>
      </c>
      <c r="B414" s="63" t="s">
        <v>1449</v>
      </c>
      <c r="C414" s="63" t="s">
        <v>48</v>
      </c>
      <c r="D414" s="63" t="s">
        <v>1453</v>
      </c>
      <c r="E414" s="63">
        <v>10.0</v>
      </c>
      <c r="F414" s="63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3" t="s">
        <v>1448</v>
      </c>
      <c r="B415" s="63" t="s">
        <v>1449</v>
      </c>
      <c r="C415" s="63" t="s">
        <v>40</v>
      </c>
      <c r="D415" s="63" t="s">
        <v>1450</v>
      </c>
      <c r="E415" s="63">
        <v>8.0</v>
      </c>
      <c r="F415" s="63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3" t="s">
        <v>1448</v>
      </c>
      <c r="B416" s="63" t="s">
        <v>1449</v>
      </c>
      <c r="C416" s="63" t="s">
        <v>110</v>
      </c>
      <c r="D416" s="63" t="s">
        <v>1481</v>
      </c>
      <c r="E416" s="63">
        <v>27.0</v>
      </c>
      <c r="F416" s="63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3" t="s">
        <v>1448</v>
      </c>
      <c r="B417" s="63" t="s">
        <v>1449</v>
      </c>
      <c r="C417" s="63" t="s">
        <v>113</v>
      </c>
      <c r="D417" s="63" t="s">
        <v>1483</v>
      </c>
      <c r="E417" s="63">
        <v>28.0</v>
      </c>
      <c r="F417" s="63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3" t="s">
        <v>1448</v>
      </c>
      <c r="B418" s="63" t="s">
        <v>1449</v>
      </c>
      <c r="C418" s="63" t="s">
        <v>107</v>
      </c>
      <c r="D418" s="63" t="s">
        <v>1480</v>
      </c>
      <c r="E418" s="63">
        <v>26.0</v>
      </c>
      <c r="F418" s="63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3" t="s">
        <v>1448</v>
      </c>
      <c r="B419" s="63" t="s">
        <v>1449</v>
      </c>
      <c r="C419" s="63" t="s">
        <v>104</v>
      </c>
      <c r="D419" s="63" t="s">
        <v>1479</v>
      </c>
      <c r="E419" s="63">
        <v>25.0</v>
      </c>
      <c r="F419" s="63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3" t="s">
        <v>1448</v>
      </c>
      <c r="B420" s="63" t="s">
        <v>1449</v>
      </c>
      <c r="C420" s="63" t="s">
        <v>1112</v>
      </c>
      <c r="D420" s="63" t="s">
        <v>1640</v>
      </c>
      <c r="E420" s="63">
        <v>507.0</v>
      </c>
      <c r="F420" s="63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3" t="s">
        <v>1448</v>
      </c>
      <c r="B421" s="63" t="s">
        <v>1449</v>
      </c>
      <c r="C421" s="63" t="s">
        <v>898</v>
      </c>
      <c r="D421" s="63" t="s">
        <v>1642</v>
      </c>
      <c r="E421" s="63">
        <v>389.0</v>
      </c>
      <c r="F421" s="63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3" t="s">
        <v>1448</v>
      </c>
      <c r="B422" s="63" t="s">
        <v>1449</v>
      </c>
      <c r="C422" s="63" t="s">
        <v>100</v>
      </c>
      <c r="D422" s="63"/>
      <c r="E422" s="63">
        <v>24.0</v>
      </c>
      <c r="F422" s="63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3" t="s">
        <v>1444</v>
      </c>
      <c r="B423" s="63" t="s">
        <v>1445</v>
      </c>
      <c r="C423" s="63" t="s">
        <v>837</v>
      </c>
      <c r="D423" s="63" t="s">
        <v>1636</v>
      </c>
      <c r="E423" s="63">
        <v>359.0</v>
      </c>
      <c r="F423" s="63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3" t="s">
        <v>1444</v>
      </c>
      <c r="B424" s="63" t="s">
        <v>1445</v>
      </c>
      <c r="C424" s="63" t="s">
        <v>844</v>
      </c>
      <c r="D424" s="63" t="s">
        <v>1638</v>
      </c>
      <c r="E424" s="63">
        <v>362.0</v>
      </c>
      <c r="F424" s="63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3" t="s">
        <v>1444</v>
      </c>
      <c r="B425" s="63" t="s">
        <v>1445</v>
      </c>
      <c r="C425" s="63" t="s">
        <v>781</v>
      </c>
      <c r="D425" s="63" t="s">
        <v>1620</v>
      </c>
      <c r="E425" s="63">
        <v>331.0</v>
      </c>
      <c r="F425" s="63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3" t="s">
        <v>1444</v>
      </c>
      <c r="B426" s="63" t="s">
        <v>1445</v>
      </c>
      <c r="C426" s="63" t="s">
        <v>1639</v>
      </c>
      <c r="D426" s="63"/>
      <c r="E426" s="63">
        <v>365.0</v>
      </c>
      <c r="F426" s="63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3" t="s">
        <v>1444</v>
      </c>
      <c r="B427" s="63" t="s">
        <v>1445</v>
      </c>
      <c r="C427" s="63" t="s">
        <v>862</v>
      </c>
      <c r="D427" s="63" t="s">
        <v>1645</v>
      </c>
      <c r="E427" s="63">
        <v>371.0</v>
      </c>
      <c r="F427" s="63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3" t="s">
        <v>1444</v>
      </c>
      <c r="B428" s="63" t="s">
        <v>1445</v>
      </c>
      <c r="C428" s="63" t="s">
        <v>684</v>
      </c>
      <c r="D428" s="63" t="s">
        <v>1606</v>
      </c>
      <c r="E428" s="63">
        <v>282.0</v>
      </c>
      <c r="F428" s="63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3" t="s">
        <v>1444</v>
      </c>
      <c r="B429" s="63" t="s">
        <v>1445</v>
      </c>
      <c r="C429" s="63" t="s">
        <v>848</v>
      </c>
      <c r="D429" s="63"/>
      <c r="E429" s="63">
        <v>364.0</v>
      </c>
      <c r="F429" s="63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3" t="s">
        <v>1444</v>
      </c>
      <c r="B430" s="63" t="s">
        <v>1445</v>
      </c>
      <c r="C430" s="63" t="s">
        <v>1114</v>
      </c>
      <c r="D430" s="63" t="s">
        <v>1659</v>
      </c>
      <c r="E430" s="63">
        <v>508.0</v>
      </c>
      <c r="F430" s="63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3" t="s">
        <v>1444</v>
      </c>
      <c r="B431" s="63" t="s">
        <v>1445</v>
      </c>
      <c r="C431" s="63" t="s">
        <v>860</v>
      </c>
      <c r="D431" s="63" t="s">
        <v>1644</v>
      </c>
      <c r="E431" s="63">
        <v>370.0</v>
      </c>
      <c r="F431" s="63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3" t="s">
        <v>1444</v>
      </c>
      <c r="B432" s="63" t="s">
        <v>1445</v>
      </c>
      <c r="C432" s="63" t="s">
        <v>680</v>
      </c>
      <c r="D432" s="63" t="s">
        <v>1600</v>
      </c>
      <c r="E432" s="63">
        <v>278.0</v>
      </c>
      <c r="F432" s="63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3" t="s">
        <v>1444</v>
      </c>
      <c r="B433" s="63" t="s">
        <v>1445</v>
      </c>
      <c r="C433" s="63" t="s">
        <v>58</v>
      </c>
      <c r="D433" s="63" t="s">
        <v>1456</v>
      </c>
      <c r="E433" s="63">
        <v>12.0</v>
      </c>
      <c r="F433" s="63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3" t="s">
        <v>1444</v>
      </c>
      <c r="B434" s="63" t="s">
        <v>1445</v>
      </c>
      <c r="C434" s="63" t="s">
        <v>36</v>
      </c>
      <c r="D434" s="63" t="s">
        <v>1447</v>
      </c>
      <c r="E434" s="63">
        <v>7.0</v>
      </c>
      <c r="F434" s="63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3" t="s">
        <v>1444</v>
      </c>
      <c r="B435" s="63" t="s">
        <v>1445</v>
      </c>
      <c r="C435" s="63" t="s">
        <v>864</v>
      </c>
      <c r="D435" s="63" t="s">
        <v>1646</v>
      </c>
      <c r="E435" s="63">
        <v>372.0</v>
      </c>
      <c r="F435" s="63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3" t="s">
        <v>1444</v>
      </c>
      <c r="B436" s="63" t="s">
        <v>1445</v>
      </c>
      <c r="C436" s="63" t="s">
        <v>858</v>
      </c>
      <c r="D436" s="63" t="s">
        <v>1643</v>
      </c>
      <c r="E436" s="63">
        <v>369.0</v>
      </c>
      <c r="F436" s="63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3" t="s">
        <v>1444</v>
      </c>
      <c r="B437" s="63" t="s">
        <v>1445</v>
      </c>
      <c r="C437" s="63" t="s">
        <v>852</v>
      </c>
      <c r="D437" s="63" t="s">
        <v>1641</v>
      </c>
      <c r="E437" s="63">
        <v>366.0</v>
      </c>
      <c r="F437" s="63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3" t="s">
        <v>1444</v>
      </c>
      <c r="B438" s="63" t="s">
        <v>1445</v>
      </c>
      <c r="C438" s="63" t="s">
        <v>682</v>
      </c>
      <c r="D438" s="63" t="s">
        <v>1604</v>
      </c>
      <c r="E438" s="63">
        <v>281.0</v>
      </c>
      <c r="F438" s="63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3" t="s">
        <v>1444</v>
      </c>
      <c r="B439" s="63" t="s">
        <v>1445</v>
      </c>
      <c r="C439" s="63" t="s">
        <v>1454</v>
      </c>
      <c r="D439" s="63" t="s">
        <v>1455</v>
      </c>
      <c r="E439" s="63">
        <v>11.0</v>
      </c>
      <c r="F439" s="63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3" t="s">
        <v>1444</v>
      </c>
      <c r="B440" s="63" t="s">
        <v>1445</v>
      </c>
      <c r="C440" s="63" t="s">
        <v>839</v>
      </c>
      <c r="D440" s="63"/>
      <c r="E440" s="63">
        <v>360.0</v>
      </c>
      <c r="F440" s="63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3" t="s">
        <v>1444</v>
      </c>
      <c r="B441" s="63" t="s">
        <v>1445</v>
      </c>
      <c r="C441" s="63" t="s">
        <v>789</v>
      </c>
      <c r="D441" s="63"/>
      <c r="E441" s="63">
        <v>335.0</v>
      </c>
      <c r="F441" s="63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3" t="s">
        <v>1444</v>
      </c>
      <c r="B442" s="63" t="s">
        <v>1445</v>
      </c>
      <c r="C442" s="63" t="s">
        <v>32</v>
      </c>
      <c r="D442" s="63" t="s">
        <v>1446</v>
      </c>
      <c r="E442" s="63">
        <v>6.0</v>
      </c>
      <c r="F442" s="63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3" t="s">
        <v>1444</v>
      </c>
      <c r="B443" s="63" t="s">
        <v>1613</v>
      </c>
      <c r="C443" s="63" t="s">
        <v>74</v>
      </c>
      <c r="D443" s="63"/>
      <c r="E443" s="63">
        <v>354.0</v>
      </c>
      <c r="F443" s="63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3" t="s">
        <v>1444</v>
      </c>
      <c r="B444" s="63" t="s">
        <v>1613</v>
      </c>
      <c r="C444" s="63" t="s">
        <v>701</v>
      </c>
      <c r="D444" s="63"/>
      <c r="E444" s="63">
        <v>291.0</v>
      </c>
      <c r="F444" s="63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3" t="s">
        <v>1444</v>
      </c>
      <c r="B445" s="63" t="s">
        <v>1613</v>
      </c>
      <c r="C445" s="63" t="s">
        <v>699</v>
      </c>
      <c r="D445" s="63"/>
      <c r="E445" s="63">
        <v>290.0</v>
      </c>
      <c r="F445" s="63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3" t="s">
        <v>1470</v>
      </c>
      <c r="B446" s="63" t="s">
        <v>1471</v>
      </c>
      <c r="C446" s="63" t="s">
        <v>880</v>
      </c>
      <c r="D446" s="63" t="s">
        <v>1654</v>
      </c>
      <c r="E446" s="63">
        <v>380.0</v>
      </c>
      <c r="F446" s="63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3" t="s">
        <v>1470</v>
      </c>
      <c r="B447" s="63" t="s">
        <v>1471</v>
      </c>
      <c r="C447" s="63" t="s">
        <v>799</v>
      </c>
      <c r="D447" s="63" t="s">
        <v>1623</v>
      </c>
      <c r="E447" s="63">
        <v>339.0</v>
      </c>
      <c r="F447" s="63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3" t="s">
        <v>1470</v>
      </c>
      <c r="B448" s="63" t="s">
        <v>1471</v>
      </c>
      <c r="C448" s="63" t="s">
        <v>803</v>
      </c>
      <c r="D448" s="63" t="s">
        <v>1625</v>
      </c>
      <c r="E448" s="63">
        <v>341.0</v>
      </c>
      <c r="F448" s="63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3" t="s">
        <v>1470</v>
      </c>
      <c r="B449" s="63" t="s">
        <v>1471</v>
      </c>
      <c r="C449" s="63" t="s">
        <v>88</v>
      </c>
      <c r="D449" s="63" t="s">
        <v>1472</v>
      </c>
      <c r="E449" s="63">
        <v>20.0</v>
      </c>
      <c r="F449" s="63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3" t="s">
        <v>1470</v>
      </c>
      <c r="B450" s="63" t="s">
        <v>1471</v>
      </c>
      <c r="C450" s="63" t="s">
        <v>797</v>
      </c>
      <c r="D450" s="63" t="s">
        <v>1622</v>
      </c>
      <c r="E450" s="63">
        <v>338.0</v>
      </c>
      <c r="F450" s="63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3" t="s">
        <v>1470</v>
      </c>
      <c r="B451" s="63" t="s">
        <v>1471</v>
      </c>
      <c r="C451" s="63" t="s">
        <v>811</v>
      </c>
      <c r="D451" s="63" t="s">
        <v>1629</v>
      </c>
      <c r="E451" s="63">
        <v>345.0</v>
      </c>
      <c r="F451" s="63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3" t="s">
        <v>1470</v>
      </c>
      <c r="B452" s="63" t="s">
        <v>1471</v>
      </c>
      <c r="C452" s="63" t="s">
        <v>805</v>
      </c>
      <c r="D452" s="63" t="s">
        <v>1626</v>
      </c>
      <c r="E452" s="63">
        <v>342.0</v>
      </c>
      <c r="F452" s="63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3" t="s">
        <v>1470</v>
      </c>
      <c r="B453" s="63" t="s">
        <v>1471</v>
      </c>
      <c r="C453" s="63" t="s">
        <v>866</v>
      </c>
      <c r="D453" s="63" t="s">
        <v>1647</v>
      </c>
      <c r="E453" s="63">
        <v>373.0</v>
      </c>
      <c r="F453" s="63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3" t="s">
        <v>1470</v>
      </c>
      <c r="B454" s="63" t="s">
        <v>1471</v>
      </c>
      <c r="C454" s="63" t="s">
        <v>817</v>
      </c>
      <c r="D454" s="63"/>
      <c r="E454" s="63">
        <v>348.0</v>
      </c>
      <c r="F454" s="63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3" t="s">
        <v>1470</v>
      </c>
      <c r="B455" s="63" t="s">
        <v>1471</v>
      </c>
      <c r="C455" s="63" t="s">
        <v>91</v>
      </c>
      <c r="D455" s="63" t="s">
        <v>1473</v>
      </c>
      <c r="E455" s="63">
        <v>21.0</v>
      </c>
      <c r="F455" s="63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3" t="s">
        <v>1470</v>
      </c>
      <c r="B456" s="63" t="s">
        <v>1471</v>
      </c>
      <c r="C456" s="63" t="s">
        <v>1653</v>
      </c>
      <c r="D456" s="63"/>
      <c r="E456" s="63">
        <v>378.0</v>
      </c>
      <c r="F456" s="63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3" t="s">
        <v>1470</v>
      </c>
      <c r="B457" s="63" t="s">
        <v>1471</v>
      </c>
      <c r="C457" s="63" t="s">
        <v>878</v>
      </c>
      <c r="D457" s="63"/>
      <c r="E457" s="63">
        <v>379.0</v>
      </c>
      <c r="F457" s="63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3" t="s">
        <v>1470</v>
      </c>
      <c r="B458" s="63" t="s">
        <v>1471</v>
      </c>
      <c r="C458" s="63" t="s">
        <v>801</v>
      </c>
      <c r="D458" s="63" t="s">
        <v>1624</v>
      </c>
      <c r="E458" s="63">
        <v>340.0</v>
      </c>
      <c r="F458" s="63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3" t="s">
        <v>1470</v>
      </c>
      <c r="B459" s="63" t="s">
        <v>1471</v>
      </c>
      <c r="C459" s="63" t="s">
        <v>813</v>
      </c>
      <c r="D459" s="63" t="s">
        <v>1630</v>
      </c>
      <c r="E459" s="63">
        <v>346.0</v>
      </c>
      <c r="F459" s="63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3" t="s">
        <v>1470</v>
      </c>
      <c r="B460" s="63" t="s">
        <v>1471</v>
      </c>
      <c r="C460" s="63" t="s">
        <v>809</v>
      </c>
      <c r="D460" s="63" t="s">
        <v>1628</v>
      </c>
      <c r="E460" s="63">
        <v>344.0</v>
      </c>
      <c r="F460" s="63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3" t="s">
        <v>1438</v>
      </c>
      <c r="B461" s="63" t="s">
        <v>1439</v>
      </c>
      <c r="C461" s="63" t="s">
        <v>16</v>
      </c>
      <c r="D461" s="63" t="s">
        <v>1440</v>
      </c>
      <c r="E461" s="63">
        <v>3.0</v>
      </c>
      <c r="F461" s="63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3" t="s">
        <v>1438</v>
      </c>
      <c r="B462" s="63" t="s">
        <v>1439</v>
      </c>
      <c r="C462" s="63" t="s">
        <v>524</v>
      </c>
      <c r="D462" s="63" t="s">
        <v>1574</v>
      </c>
      <c r="E462" s="63">
        <v>196.0</v>
      </c>
      <c r="F462" s="63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3" t="s">
        <v>1438</v>
      </c>
      <c r="B463" s="63" t="s">
        <v>1439</v>
      </c>
      <c r="C463" s="63" t="s">
        <v>22</v>
      </c>
      <c r="D463" s="63" t="s">
        <v>1441</v>
      </c>
      <c r="E463" s="63">
        <v>4.0</v>
      </c>
      <c r="F463" s="63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3" t="s">
        <v>1438</v>
      </c>
      <c r="B464" s="63" t="s">
        <v>1439</v>
      </c>
      <c r="C464" s="63" t="s">
        <v>27</v>
      </c>
      <c r="D464" s="63" t="s">
        <v>1442</v>
      </c>
      <c r="E464" s="63">
        <v>5.0</v>
      </c>
      <c r="F464" s="63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3" t="s">
        <v>1438</v>
      </c>
      <c r="B465" s="63" t="s">
        <v>1439</v>
      </c>
      <c r="C465" s="63" t="s">
        <v>842</v>
      </c>
      <c r="D465" s="63" t="s">
        <v>1637</v>
      </c>
      <c r="E465" s="63">
        <v>361.0</v>
      </c>
      <c r="F465" s="63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3" t="s">
        <v>1438</v>
      </c>
      <c r="B466" s="63" t="s">
        <v>1439</v>
      </c>
      <c r="C466" s="63" t="s">
        <v>779</v>
      </c>
      <c r="D466" s="63"/>
      <c r="E466" s="63">
        <v>330.0</v>
      </c>
      <c r="F466" s="63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3" t="s">
        <v>1438</v>
      </c>
      <c r="B467" s="63" t="s">
        <v>1439</v>
      </c>
      <c r="C467" s="63" t="s">
        <v>710</v>
      </c>
      <c r="D467" s="63" t="s">
        <v>1615</v>
      </c>
      <c r="E467" s="63">
        <v>297.0</v>
      </c>
      <c r="F467" s="63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3" t="s">
        <v>1438</v>
      </c>
      <c r="B468" s="63" t="s">
        <v>1439</v>
      </c>
      <c r="C468" s="63" t="s">
        <v>807</v>
      </c>
      <c r="D468" s="63" t="s">
        <v>1627</v>
      </c>
      <c r="E468" s="63">
        <v>343.0</v>
      </c>
      <c r="F468" s="63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3" t="s">
        <v>1474</v>
      </c>
      <c r="B469" s="63" t="s">
        <v>1475</v>
      </c>
      <c r="C469" s="63" t="s">
        <v>293</v>
      </c>
      <c r="D469" s="63" t="s">
        <v>1522</v>
      </c>
      <c r="E469" s="63">
        <v>87.0</v>
      </c>
      <c r="F469" s="63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3" t="s">
        <v>1474</v>
      </c>
      <c r="B470" s="63" t="s">
        <v>1475</v>
      </c>
      <c r="C470" s="63" t="s">
        <v>291</v>
      </c>
      <c r="D470" s="63" t="s">
        <v>1521</v>
      </c>
      <c r="E470" s="63">
        <v>86.0</v>
      </c>
      <c r="F470" s="63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3" t="s">
        <v>1474</v>
      </c>
      <c r="B471" s="63" t="s">
        <v>1475</v>
      </c>
      <c r="C471" s="63" t="s">
        <v>295</v>
      </c>
      <c r="D471" s="63" t="s">
        <v>1523</v>
      </c>
      <c r="E471" s="63">
        <v>88.0</v>
      </c>
      <c r="F471" s="63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3" t="s">
        <v>1474</v>
      </c>
      <c r="B472" s="63" t="s">
        <v>1475</v>
      </c>
      <c r="C472" s="63" t="s">
        <v>180</v>
      </c>
      <c r="D472" s="63" t="s">
        <v>1509</v>
      </c>
      <c r="E472" s="63">
        <v>50.0</v>
      </c>
      <c r="F472" s="63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3" t="s">
        <v>1474</v>
      </c>
      <c r="B473" s="63" t="s">
        <v>1475</v>
      </c>
      <c r="C473" s="63" t="s">
        <v>178</v>
      </c>
      <c r="D473" s="63" t="s">
        <v>1507</v>
      </c>
      <c r="E473" s="63">
        <v>49.0</v>
      </c>
      <c r="F473" s="63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3" t="s">
        <v>1474</v>
      </c>
      <c r="B474" s="63" t="s">
        <v>1475</v>
      </c>
      <c r="C474" s="63" t="s">
        <v>174</v>
      </c>
      <c r="D474" s="63" t="s">
        <v>1506</v>
      </c>
      <c r="E474" s="63">
        <v>48.0</v>
      </c>
      <c r="F474" s="63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3" t="s">
        <v>1474</v>
      </c>
      <c r="B475" s="63" t="s">
        <v>1475</v>
      </c>
      <c r="C475" s="63" t="s">
        <v>94</v>
      </c>
      <c r="D475" s="63" t="s">
        <v>1476</v>
      </c>
      <c r="E475" s="63">
        <v>22.0</v>
      </c>
      <c r="F475" s="63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3" t="s">
        <v>1474</v>
      </c>
      <c r="B476" s="63" t="s">
        <v>1475</v>
      </c>
      <c r="C476" s="63" t="s">
        <v>882</v>
      </c>
      <c r="D476" s="63" t="s">
        <v>1655</v>
      </c>
      <c r="E476" s="63">
        <v>381.0</v>
      </c>
      <c r="F476" s="63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3" t="s">
        <v>1474</v>
      </c>
      <c r="B477" s="63" t="s">
        <v>1475</v>
      </c>
      <c r="C477" s="63" t="s">
        <v>884</v>
      </c>
      <c r="D477" s="63" t="s">
        <v>1656</v>
      </c>
      <c r="E477" s="63">
        <v>382.0</v>
      </c>
      <c r="F477" s="63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3" t="s">
        <v>1474</v>
      </c>
      <c r="B478" s="63" t="s">
        <v>1475</v>
      </c>
      <c r="C478" s="63" t="s">
        <v>204</v>
      </c>
      <c r="D478" s="63" t="s">
        <v>1517</v>
      </c>
      <c r="E478" s="63">
        <v>58.0</v>
      </c>
      <c r="F478" s="63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3" t="s">
        <v>1474</v>
      </c>
      <c r="B479" s="63" t="s">
        <v>1475</v>
      </c>
      <c r="C479" s="63" t="s">
        <v>201</v>
      </c>
      <c r="D479" s="63" t="s">
        <v>1516</v>
      </c>
      <c r="E479" s="63">
        <v>57.0</v>
      </c>
      <c r="F479" s="63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3" t="s">
        <v>1474</v>
      </c>
      <c r="B480" s="63" t="s">
        <v>1475</v>
      </c>
      <c r="C480" s="63" t="s">
        <v>815</v>
      </c>
      <c r="D480" s="63" t="s">
        <v>1631</v>
      </c>
      <c r="E480" s="63">
        <v>347.0</v>
      </c>
      <c r="F480" s="63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3" t="s">
        <v>1474</v>
      </c>
      <c r="B481" s="63" t="s">
        <v>1475</v>
      </c>
      <c r="C481" s="63" t="s">
        <v>150</v>
      </c>
      <c r="D481" s="63" t="s">
        <v>1499</v>
      </c>
      <c r="E481" s="63">
        <v>39.0</v>
      </c>
      <c r="F481" s="63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3" t="s">
        <v>1474</v>
      </c>
      <c r="B482" s="63" t="s">
        <v>1475</v>
      </c>
      <c r="C482" s="63" t="s">
        <v>723</v>
      </c>
      <c r="D482" s="63" t="s">
        <v>1616</v>
      </c>
      <c r="E482" s="63">
        <v>303.0</v>
      </c>
      <c r="F482" s="63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3" t="s">
        <v>1474</v>
      </c>
      <c r="B483" s="63" t="s">
        <v>1475</v>
      </c>
      <c r="C483" s="63" t="s">
        <v>146</v>
      </c>
      <c r="D483" s="63" t="s">
        <v>1497</v>
      </c>
      <c r="E483" s="63">
        <v>37.0</v>
      </c>
      <c r="F483" s="63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3" t="s">
        <v>1474</v>
      </c>
      <c r="B484" s="63" t="s">
        <v>1475</v>
      </c>
      <c r="C484" s="63" t="s">
        <v>197</v>
      </c>
      <c r="D484" s="63" t="s">
        <v>1515</v>
      </c>
      <c r="E484" s="63">
        <v>55.0</v>
      </c>
      <c r="F484" s="63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3" t="s">
        <v>1474</v>
      </c>
      <c r="B485" s="63" t="s">
        <v>1475</v>
      </c>
      <c r="C485" s="63" t="s">
        <v>821</v>
      </c>
      <c r="D485" s="63" t="s">
        <v>1633</v>
      </c>
      <c r="E485" s="63">
        <v>350.0</v>
      </c>
      <c r="F485" s="63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3" t="s">
        <v>1474</v>
      </c>
      <c r="B486" s="63" t="s">
        <v>1475</v>
      </c>
      <c r="C486" s="63" t="s">
        <v>819</v>
      </c>
      <c r="D486" s="63" t="s">
        <v>1632</v>
      </c>
      <c r="E486" s="63">
        <v>349.0</v>
      </c>
      <c r="F486" s="63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3" t="s">
        <v>1474</v>
      </c>
      <c r="B487" s="63" t="s">
        <v>1475</v>
      </c>
      <c r="C487" s="63" t="s">
        <v>154</v>
      </c>
      <c r="D487" s="63" t="s">
        <v>1500</v>
      </c>
      <c r="E487" s="63">
        <v>40.0</v>
      </c>
      <c r="F487" s="63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3" t="s">
        <v>1474</v>
      </c>
      <c r="B488" s="63" t="s">
        <v>1475</v>
      </c>
      <c r="C488" s="63" t="s">
        <v>184</v>
      </c>
      <c r="D488" s="63" t="s">
        <v>1510</v>
      </c>
      <c r="E488" s="63">
        <v>51.0</v>
      </c>
      <c r="F488" s="63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3" t="s">
        <v>1474</v>
      </c>
      <c r="B489" s="63" t="s">
        <v>1475</v>
      </c>
      <c r="C489" s="63" t="s">
        <v>187</v>
      </c>
      <c r="D489" s="63" t="s">
        <v>1511</v>
      </c>
      <c r="E489" s="63">
        <v>52.0</v>
      </c>
      <c r="F489" s="63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3" t="s">
        <v>1474</v>
      </c>
      <c r="B490" s="63" t="s">
        <v>1475</v>
      </c>
      <c r="C490" s="63" t="s">
        <v>194</v>
      </c>
      <c r="D490" s="63" t="s">
        <v>1514</v>
      </c>
      <c r="E490" s="63">
        <v>54.0</v>
      </c>
      <c r="F490" s="63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3" t="s">
        <v>1474</v>
      </c>
      <c r="B491" s="63" t="s">
        <v>1475</v>
      </c>
      <c r="C491" s="63" t="s">
        <v>190</v>
      </c>
      <c r="D491" s="63" t="s">
        <v>1513</v>
      </c>
      <c r="E491" s="63">
        <v>53.0</v>
      </c>
      <c r="F491" s="63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3" t="s">
        <v>1597</v>
      </c>
      <c r="B492" s="63" t="s">
        <v>1618</v>
      </c>
      <c r="C492" s="63" t="s">
        <v>902</v>
      </c>
      <c r="D492" s="63" t="s">
        <v>1658</v>
      </c>
      <c r="E492" s="63">
        <v>391.0</v>
      </c>
      <c r="F492" s="63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3" t="s">
        <v>1597</v>
      </c>
      <c r="B493" s="63" t="s">
        <v>1618</v>
      </c>
      <c r="C493" s="63" t="s">
        <v>759</v>
      </c>
      <c r="D493" s="63" t="s">
        <v>1619</v>
      </c>
      <c r="E493" s="63">
        <v>321.0</v>
      </c>
      <c r="F493" s="63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3" t="s">
        <v>1599</v>
      </c>
      <c r="B494" s="63" t="s">
        <v>1635</v>
      </c>
      <c r="C494" s="63" t="s">
        <v>1648</v>
      </c>
      <c r="D494" s="63"/>
      <c r="E494" s="63">
        <v>374.0</v>
      </c>
      <c r="F494" s="63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3" t="s">
        <v>1599</v>
      </c>
      <c r="B495" s="63" t="s">
        <v>1635</v>
      </c>
      <c r="C495" s="63" t="s">
        <v>835</v>
      </c>
      <c r="D495" s="63"/>
      <c r="E495" s="63">
        <v>358.0</v>
      </c>
      <c r="F495" s="63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3" t="s">
        <v>1599</v>
      </c>
      <c r="B496" s="63" t="s">
        <v>1635</v>
      </c>
      <c r="C496" s="63" t="s">
        <v>833</v>
      </c>
      <c r="D496" s="63"/>
      <c r="E496" s="63">
        <v>357.0</v>
      </c>
      <c r="F496" s="63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3" t="s">
        <v>1602</v>
      </c>
      <c r="B497" s="63" t="s">
        <v>1614</v>
      </c>
      <c r="C497" s="63" t="s">
        <v>886</v>
      </c>
      <c r="D497" s="63" t="s">
        <v>1657</v>
      </c>
      <c r="E497" s="63">
        <v>383.0</v>
      </c>
      <c r="F497" s="63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3" t="s">
        <v>1602</v>
      </c>
      <c r="B498" s="63" t="s">
        <v>1614</v>
      </c>
      <c r="C498" s="63" t="s">
        <v>703</v>
      </c>
      <c r="D498" s="63"/>
      <c r="E498" s="63">
        <v>292.0</v>
      </c>
      <c r="F498" s="63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3" t="s">
        <v>1602</v>
      </c>
      <c r="B499" s="63" t="s">
        <v>1649</v>
      </c>
      <c r="C499" s="63" t="s">
        <v>872</v>
      </c>
      <c r="D499" s="63" t="s">
        <v>1651</v>
      </c>
      <c r="E499" s="63">
        <v>376.0</v>
      </c>
      <c r="F499" s="63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3" t="s">
        <v>1602</v>
      </c>
      <c r="B500" s="63" t="s">
        <v>1649</v>
      </c>
      <c r="C500" s="63" t="s">
        <v>874</v>
      </c>
      <c r="D500" s="63" t="s">
        <v>1652</v>
      </c>
      <c r="E500" s="63">
        <v>377.0</v>
      </c>
      <c r="F500" s="63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3" t="s">
        <v>1602</v>
      </c>
      <c r="B501" s="63" t="s">
        <v>1614</v>
      </c>
      <c r="C501" s="63" t="s">
        <v>768</v>
      </c>
      <c r="D501" s="63"/>
      <c r="E501" s="63">
        <v>325.0</v>
      </c>
      <c r="F501" s="63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3" t="s">
        <v>1602</v>
      </c>
      <c r="B502" s="63" t="s">
        <v>1649</v>
      </c>
      <c r="C502" s="63" t="s">
        <v>870</v>
      </c>
      <c r="D502" s="63" t="s">
        <v>1650</v>
      </c>
      <c r="E502" s="63">
        <v>375.0</v>
      </c>
      <c r="F502" s="63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3" t="s">
        <v>1467</v>
      </c>
      <c r="B503" s="63" t="s">
        <v>1468</v>
      </c>
      <c r="C503" s="63" t="s">
        <v>1660</v>
      </c>
      <c r="D503" s="63"/>
      <c r="E503" s="63">
        <v>509.0</v>
      </c>
      <c r="F503" s="63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3" t="s">
        <v>1467</v>
      </c>
      <c r="B504" s="63" t="s">
        <v>1468</v>
      </c>
      <c r="C504" s="63" t="s">
        <v>526</v>
      </c>
      <c r="D504" s="63" t="s">
        <v>1575</v>
      </c>
      <c r="E504" s="63">
        <v>197.0</v>
      </c>
      <c r="F504" s="63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3" t="s">
        <v>1467</v>
      </c>
      <c r="B505" s="63" t="s">
        <v>1468</v>
      </c>
      <c r="C505" s="63" t="s">
        <v>85</v>
      </c>
      <c r="D505" s="63" t="s">
        <v>1469</v>
      </c>
      <c r="E505" s="63">
        <v>19.0</v>
      </c>
      <c r="F505" s="63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3" t="s">
        <v>1467</v>
      </c>
      <c r="B506" s="63" t="s">
        <v>1468</v>
      </c>
      <c r="C506" s="63" t="s">
        <v>97</v>
      </c>
      <c r="D506" s="63" t="s">
        <v>1477</v>
      </c>
      <c r="E506" s="63">
        <v>23.0</v>
      </c>
      <c r="F506" s="63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3" t="s">
        <v>1467</v>
      </c>
      <c r="B507" s="63" t="s">
        <v>1611</v>
      </c>
      <c r="C507" s="63" t="s">
        <v>697</v>
      </c>
      <c r="D507" s="63" t="s">
        <v>1612</v>
      </c>
      <c r="E507" s="63">
        <v>289.0</v>
      </c>
      <c r="F507" s="63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3" t="s">
        <v>1467</v>
      </c>
      <c r="B508" s="63" t="s">
        <v>1468</v>
      </c>
      <c r="C508" s="63" t="s">
        <v>823</v>
      </c>
      <c r="D508" s="63" t="s">
        <v>1634</v>
      </c>
      <c r="E508" s="63">
        <v>351.0</v>
      </c>
      <c r="F508" s="63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3" t="s">
        <v>1436</v>
      </c>
      <c r="B509" s="63" t="s">
        <v>1437</v>
      </c>
      <c r="C509" s="63" t="s">
        <v>13</v>
      </c>
      <c r="D509" s="63"/>
      <c r="E509" s="63">
        <v>2.0</v>
      </c>
      <c r="F509" s="63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dataValidations>
    <dataValidation type="list" allowBlank="1" sqref="A2:A509">
      <formula1>Categories!$A$2:$A$22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62.0"/>
    <col customWidth="1" min="3" max="3" width="32.0"/>
    <col customWidth="1" min="4" max="5" width="24.0"/>
    <col customWidth="1" min="6" max="26" width="8.63"/>
  </cols>
  <sheetData>
    <row r="1">
      <c r="A1" s="65" t="s">
        <v>1118</v>
      </c>
      <c r="B1" s="65" t="s">
        <v>4</v>
      </c>
      <c r="C1" s="65" t="s">
        <v>1115</v>
      </c>
      <c r="D1" s="65" t="s">
        <v>1116</v>
      </c>
      <c r="E1" s="65" t="s">
        <v>1117</v>
      </c>
    </row>
    <row r="2">
      <c r="A2" s="66">
        <v>2.0</v>
      </c>
      <c r="B2" s="66" t="s">
        <v>13</v>
      </c>
      <c r="C2" s="66" t="s">
        <v>1436</v>
      </c>
      <c r="D2" s="66" t="s">
        <v>1437</v>
      </c>
      <c r="E2" s="66"/>
    </row>
    <row r="3">
      <c r="A3" s="66">
        <v>3.0</v>
      </c>
      <c r="B3" s="66" t="s">
        <v>16</v>
      </c>
      <c r="C3" s="66" t="s">
        <v>1438</v>
      </c>
      <c r="D3" s="66" t="s">
        <v>1439</v>
      </c>
      <c r="E3" s="66" t="s">
        <v>1440</v>
      </c>
    </row>
    <row r="4">
      <c r="A4" s="66">
        <v>4.0</v>
      </c>
      <c r="B4" s="66" t="s">
        <v>22</v>
      </c>
      <c r="C4" s="66" t="s">
        <v>1438</v>
      </c>
      <c r="D4" s="66" t="s">
        <v>1439</v>
      </c>
      <c r="E4" s="66" t="s">
        <v>1441</v>
      </c>
    </row>
    <row r="5">
      <c r="A5" s="66">
        <v>5.0</v>
      </c>
      <c r="B5" s="66" t="s">
        <v>27</v>
      </c>
      <c r="C5" s="66" t="s">
        <v>1438</v>
      </c>
      <c r="D5" s="66" t="s">
        <v>1439</v>
      </c>
      <c r="E5" s="66" t="s">
        <v>1442</v>
      </c>
    </row>
    <row r="6">
      <c r="A6" s="66">
        <v>6.0</v>
      </c>
      <c r="B6" s="66" t="s">
        <v>32</v>
      </c>
      <c r="C6" s="66" t="s">
        <v>1444</v>
      </c>
      <c r="D6" s="66" t="s">
        <v>1445</v>
      </c>
      <c r="E6" s="66" t="s">
        <v>1446</v>
      </c>
    </row>
    <row r="7">
      <c r="A7" s="66">
        <v>7.0</v>
      </c>
      <c r="B7" s="66" t="s">
        <v>36</v>
      </c>
      <c r="C7" s="66" t="s">
        <v>1444</v>
      </c>
      <c r="D7" s="66" t="s">
        <v>1445</v>
      </c>
      <c r="E7" s="66" t="s">
        <v>1447</v>
      </c>
    </row>
    <row r="8">
      <c r="A8" s="66">
        <v>8.0</v>
      </c>
      <c r="B8" s="66" t="s">
        <v>40</v>
      </c>
      <c r="C8" s="66" t="s">
        <v>1448</v>
      </c>
      <c r="D8" s="66" t="s">
        <v>1449</v>
      </c>
      <c r="E8" s="66" t="s">
        <v>1450</v>
      </c>
    </row>
    <row r="9">
      <c r="A9" s="66">
        <v>9.0</v>
      </c>
      <c r="B9" s="66" t="s">
        <v>44</v>
      </c>
      <c r="C9" s="66" t="s">
        <v>1448</v>
      </c>
      <c r="D9" s="66" t="s">
        <v>1449</v>
      </c>
      <c r="E9" s="66" t="s">
        <v>1451</v>
      </c>
    </row>
    <row r="10">
      <c r="A10" s="66">
        <v>10.0</v>
      </c>
      <c r="B10" s="66" t="s">
        <v>48</v>
      </c>
      <c r="C10" s="66" t="s">
        <v>1448</v>
      </c>
      <c r="D10" s="66" t="s">
        <v>1449</v>
      </c>
      <c r="E10" s="66" t="s">
        <v>1453</v>
      </c>
    </row>
    <row r="11">
      <c r="A11" s="66">
        <v>11.0</v>
      </c>
      <c r="B11" s="66" t="s">
        <v>1454</v>
      </c>
      <c r="C11" s="66" t="s">
        <v>1444</v>
      </c>
      <c r="D11" s="66" t="s">
        <v>1445</v>
      </c>
      <c r="E11" s="66" t="s">
        <v>1455</v>
      </c>
    </row>
    <row r="12">
      <c r="A12" s="66">
        <v>12.0</v>
      </c>
      <c r="B12" s="66" t="s">
        <v>58</v>
      </c>
      <c r="C12" s="66" t="s">
        <v>1444</v>
      </c>
      <c r="D12" s="66" t="s">
        <v>1445</v>
      </c>
      <c r="E12" s="66" t="s">
        <v>1456</v>
      </c>
    </row>
    <row r="13">
      <c r="A13" s="66">
        <v>13.0</v>
      </c>
      <c r="B13" s="66" t="s">
        <v>61</v>
      </c>
      <c r="C13" s="66" t="s">
        <v>1457</v>
      </c>
      <c r="D13" s="66" t="s">
        <v>1458</v>
      </c>
      <c r="E13" s="66" t="s">
        <v>1459</v>
      </c>
    </row>
    <row r="14">
      <c r="A14" s="66">
        <v>14.0</v>
      </c>
      <c r="B14" s="66" t="s">
        <v>65</v>
      </c>
      <c r="C14" s="66" t="s">
        <v>1457</v>
      </c>
      <c r="D14" s="66" t="s">
        <v>1458</v>
      </c>
      <c r="E14" s="66" t="s">
        <v>1461</v>
      </c>
    </row>
    <row r="15">
      <c r="A15" s="66">
        <v>15.0</v>
      </c>
      <c r="B15" s="66" t="s">
        <v>69</v>
      </c>
      <c r="C15" s="66" t="s">
        <v>1457</v>
      </c>
      <c r="D15" s="66" t="s">
        <v>1458</v>
      </c>
      <c r="E15" s="66" t="s">
        <v>1462</v>
      </c>
    </row>
    <row r="16">
      <c r="A16" s="66">
        <v>16.0</v>
      </c>
      <c r="B16" s="66" t="s">
        <v>72</v>
      </c>
      <c r="C16" s="66" t="s">
        <v>1457</v>
      </c>
      <c r="D16" s="66" t="s">
        <v>1458</v>
      </c>
      <c r="E16" s="66" t="s">
        <v>1463</v>
      </c>
    </row>
    <row r="17">
      <c r="A17" s="66">
        <v>17.0</v>
      </c>
      <c r="B17" s="66" t="s">
        <v>77</v>
      </c>
      <c r="C17" s="66" t="s">
        <v>1457</v>
      </c>
      <c r="D17" s="66" t="s">
        <v>1458</v>
      </c>
      <c r="E17" s="66" t="s">
        <v>1464</v>
      </c>
    </row>
    <row r="18">
      <c r="A18" s="66">
        <v>18.0</v>
      </c>
      <c r="B18" s="66" t="s">
        <v>81</v>
      </c>
      <c r="C18" s="66" t="s">
        <v>1457</v>
      </c>
      <c r="D18" s="66" t="s">
        <v>1458</v>
      </c>
      <c r="E18" s="66" t="s">
        <v>1465</v>
      </c>
    </row>
    <row r="19">
      <c r="A19" s="66">
        <v>19.0</v>
      </c>
      <c r="B19" s="66" t="s">
        <v>85</v>
      </c>
      <c r="C19" s="66" t="s">
        <v>1467</v>
      </c>
      <c r="D19" s="66" t="s">
        <v>1468</v>
      </c>
      <c r="E19" s="66" t="s">
        <v>1469</v>
      </c>
    </row>
    <row r="20">
      <c r="A20" s="66">
        <v>20.0</v>
      </c>
      <c r="B20" s="66" t="s">
        <v>88</v>
      </c>
      <c r="C20" s="66" t="s">
        <v>1470</v>
      </c>
      <c r="D20" s="66" t="s">
        <v>1471</v>
      </c>
      <c r="E20" s="66" t="s">
        <v>1472</v>
      </c>
    </row>
    <row r="21">
      <c r="A21" s="66">
        <v>21.0</v>
      </c>
      <c r="B21" s="66" t="s">
        <v>91</v>
      </c>
      <c r="C21" s="66" t="s">
        <v>1470</v>
      </c>
      <c r="D21" s="66" t="s">
        <v>1471</v>
      </c>
      <c r="E21" s="66" t="s">
        <v>1473</v>
      </c>
    </row>
    <row r="22">
      <c r="A22" s="66">
        <v>22.0</v>
      </c>
      <c r="B22" s="66" t="s">
        <v>94</v>
      </c>
      <c r="C22" s="66" t="s">
        <v>1474</v>
      </c>
      <c r="D22" s="66" t="s">
        <v>1475</v>
      </c>
      <c r="E22" s="66" t="s">
        <v>1476</v>
      </c>
    </row>
    <row r="23">
      <c r="A23" s="66">
        <v>23.0</v>
      </c>
      <c r="B23" s="66" t="s">
        <v>97</v>
      </c>
      <c r="C23" s="66" t="s">
        <v>1467</v>
      </c>
      <c r="D23" s="66" t="s">
        <v>1468</v>
      </c>
      <c r="E23" s="66" t="s">
        <v>1477</v>
      </c>
    </row>
    <row r="24">
      <c r="A24" s="66">
        <v>24.0</v>
      </c>
      <c r="B24" s="66" t="s">
        <v>100</v>
      </c>
      <c r="C24" s="66" t="s">
        <v>1448</v>
      </c>
      <c r="D24" s="66" t="s">
        <v>1449</v>
      </c>
      <c r="E24" s="66"/>
    </row>
    <row r="25">
      <c r="A25" s="66">
        <v>25.0</v>
      </c>
      <c r="B25" s="66" t="s">
        <v>104</v>
      </c>
      <c r="C25" s="66" t="s">
        <v>1448</v>
      </c>
      <c r="D25" s="66" t="s">
        <v>1449</v>
      </c>
      <c r="E25" s="66" t="s">
        <v>1479</v>
      </c>
    </row>
    <row r="26">
      <c r="A26" s="66">
        <v>26.0</v>
      </c>
      <c r="B26" s="66" t="s">
        <v>107</v>
      </c>
      <c r="C26" s="66" t="s">
        <v>1448</v>
      </c>
      <c r="D26" s="66" t="s">
        <v>1449</v>
      </c>
      <c r="E26" s="66" t="s">
        <v>1480</v>
      </c>
    </row>
    <row r="27">
      <c r="A27" s="66">
        <v>27.0</v>
      </c>
      <c r="B27" s="66" t="s">
        <v>110</v>
      </c>
      <c r="C27" s="66" t="s">
        <v>1448</v>
      </c>
      <c r="D27" s="66" t="s">
        <v>1449</v>
      </c>
      <c r="E27" s="66" t="s">
        <v>1481</v>
      </c>
    </row>
    <row r="28">
      <c r="A28" s="66">
        <v>28.0</v>
      </c>
      <c r="B28" s="66" t="s">
        <v>113</v>
      </c>
      <c r="C28" s="66" t="s">
        <v>1448</v>
      </c>
      <c r="D28" s="66" t="s">
        <v>1449</v>
      </c>
      <c r="E28" s="66" t="s">
        <v>1483</v>
      </c>
    </row>
    <row r="29">
      <c r="A29" s="66">
        <v>29.0</v>
      </c>
      <c r="B29" s="66" t="s">
        <v>116</v>
      </c>
      <c r="C29" s="66" t="s">
        <v>1484</v>
      </c>
      <c r="D29" s="66" t="s">
        <v>1485</v>
      </c>
      <c r="E29" s="66" t="s">
        <v>1486</v>
      </c>
    </row>
    <row r="30">
      <c r="A30" s="66">
        <v>30.0</v>
      </c>
      <c r="B30" s="66" t="s">
        <v>119</v>
      </c>
      <c r="C30" s="66" t="s">
        <v>1484</v>
      </c>
      <c r="D30" s="66" t="s">
        <v>1485</v>
      </c>
      <c r="E30" s="66" t="s">
        <v>1487</v>
      </c>
    </row>
    <row r="31">
      <c r="A31" s="66">
        <v>31.0</v>
      </c>
      <c r="B31" s="66" t="s">
        <v>125</v>
      </c>
      <c r="C31" s="66" t="s">
        <v>1484</v>
      </c>
      <c r="D31" s="66" t="s">
        <v>1485</v>
      </c>
      <c r="E31" s="66" t="s">
        <v>1488</v>
      </c>
    </row>
    <row r="32">
      <c r="A32" s="66">
        <v>32.0</v>
      </c>
      <c r="B32" s="66" t="s">
        <v>130</v>
      </c>
      <c r="C32" s="66" t="s">
        <v>1484</v>
      </c>
      <c r="D32" s="66" t="s">
        <v>1485</v>
      </c>
      <c r="E32" s="66" t="s">
        <v>1490</v>
      </c>
    </row>
    <row r="33">
      <c r="A33" s="66">
        <v>33.0</v>
      </c>
      <c r="B33" s="66" t="s">
        <v>133</v>
      </c>
      <c r="C33" s="66" t="s">
        <v>1484</v>
      </c>
      <c r="D33" s="66" t="s">
        <v>1485</v>
      </c>
      <c r="E33" s="66" t="s">
        <v>1491</v>
      </c>
    </row>
    <row r="34">
      <c r="A34" s="66">
        <v>34.0</v>
      </c>
      <c r="B34" s="66" t="s">
        <v>139</v>
      </c>
      <c r="C34" s="66" t="s">
        <v>1492</v>
      </c>
      <c r="D34" s="66" t="s">
        <v>1493</v>
      </c>
      <c r="E34" s="66" t="s">
        <v>1494</v>
      </c>
    </row>
    <row r="35">
      <c r="A35" s="66">
        <v>35.0</v>
      </c>
      <c r="B35" s="66" t="s">
        <v>142</v>
      </c>
      <c r="C35" s="66" t="s">
        <v>1484</v>
      </c>
      <c r="D35" s="66" t="s">
        <v>1485</v>
      </c>
      <c r="E35" s="66" t="s">
        <v>1496</v>
      </c>
    </row>
    <row r="36">
      <c r="A36" s="66">
        <v>36.0</v>
      </c>
      <c r="B36" s="66" t="s">
        <v>144</v>
      </c>
      <c r="C36" s="66" t="s">
        <v>1414</v>
      </c>
      <c r="D36" s="66" t="s">
        <v>1415</v>
      </c>
      <c r="E36" s="66" t="s">
        <v>1429</v>
      </c>
    </row>
    <row r="37">
      <c r="A37" s="66">
        <v>37.0</v>
      </c>
      <c r="B37" s="66" t="s">
        <v>146</v>
      </c>
      <c r="C37" s="66" t="s">
        <v>1474</v>
      </c>
      <c r="D37" s="66" t="s">
        <v>1475</v>
      </c>
      <c r="E37" s="66" t="s">
        <v>1497</v>
      </c>
    </row>
    <row r="38">
      <c r="A38" s="66">
        <v>38.0</v>
      </c>
      <c r="B38" s="66" t="s">
        <v>148</v>
      </c>
      <c r="C38" s="66" t="s">
        <v>1484</v>
      </c>
      <c r="D38" s="66" t="s">
        <v>1485</v>
      </c>
      <c r="E38" s="66" t="s">
        <v>1498</v>
      </c>
    </row>
    <row r="39">
      <c r="A39" s="66">
        <v>39.0</v>
      </c>
      <c r="B39" s="66" t="s">
        <v>150</v>
      </c>
      <c r="C39" s="66" t="s">
        <v>1474</v>
      </c>
      <c r="D39" s="66" t="s">
        <v>1475</v>
      </c>
      <c r="E39" s="66" t="s">
        <v>1499</v>
      </c>
    </row>
    <row r="40">
      <c r="A40" s="66">
        <v>40.0</v>
      </c>
      <c r="B40" s="66" t="s">
        <v>154</v>
      </c>
      <c r="C40" s="66" t="s">
        <v>1474</v>
      </c>
      <c r="D40" s="66" t="s">
        <v>1475</v>
      </c>
      <c r="E40" s="66" t="s">
        <v>1500</v>
      </c>
    </row>
    <row r="41">
      <c r="A41" s="66">
        <v>41.0</v>
      </c>
      <c r="B41" s="66" t="s">
        <v>156</v>
      </c>
      <c r="C41" s="66" t="s">
        <v>1414</v>
      </c>
      <c r="D41" s="66" t="s">
        <v>1415</v>
      </c>
      <c r="E41" s="66" t="s">
        <v>1452</v>
      </c>
    </row>
    <row r="42">
      <c r="A42" s="66">
        <v>42.0</v>
      </c>
      <c r="B42" s="66" t="s">
        <v>158</v>
      </c>
      <c r="C42" s="66" t="s">
        <v>1414</v>
      </c>
      <c r="D42" s="66" t="s">
        <v>1415</v>
      </c>
      <c r="E42" s="66" t="s">
        <v>1460</v>
      </c>
    </row>
    <row r="43">
      <c r="A43" s="66">
        <v>43.0</v>
      </c>
      <c r="B43" s="66" t="s">
        <v>160</v>
      </c>
      <c r="C43" s="66" t="s">
        <v>1457</v>
      </c>
      <c r="D43" s="66" t="s">
        <v>1458</v>
      </c>
      <c r="E43" s="66" t="s">
        <v>1501</v>
      </c>
    </row>
    <row r="44">
      <c r="A44" s="66">
        <v>44.0</v>
      </c>
      <c r="B44" s="66" t="s">
        <v>162</v>
      </c>
      <c r="C44" s="66" t="s">
        <v>1492</v>
      </c>
      <c r="D44" s="66" t="s">
        <v>1493</v>
      </c>
      <c r="E44" s="66" t="s">
        <v>1502</v>
      </c>
    </row>
    <row r="45">
      <c r="A45" s="66">
        <v>45.0</v>
      </c>
      <c r="B45" s="66" t="s">
        <v>166</v>
      </c>
      <c r="C45" s="66" t="s">
        <v>1492</v>
      </c>
      <c r="D45" s="66" t="s">
        <v>1493</v>
      </c>
      <c r="E45" s="66" t="s">
        <v>1503</v>
      </c>
    </row>
    <row r="46">
      <c r="A46" s="66">
        <v>46.0</v>
      </c>
      <c r="B46" s="66" t="s">
        <v>168</v>
      </c>
      <c r="C46" s="66" t="s">
        <v>1492</v>
      </c>
      <c r="D46" s="66" t="s">
        <v>1493</v>
      </c>
      <c r="E46" s="66" t="s">
        <v>1504</v>
      </c>
    </row>
    <row r="47">
      <c r="A47" s="66">
        <v>47.0</v>
      </c>
      <c r="B47" s="66" t="s">
        <v>172</v>
      </c>
      <c r="C47" s="66" t="s">
        <v>1343</v>
      </c>
      <c r="D47" s="66" t="s">
        <v>1344</v>
      </c>
      <c r="E47" s="66" t="s">
        <v>1369</v>
      </c>
    </row>
    <row r="48">
      <c r="A48" s="66">
        <v>48.0</v>
      </c>
      <c r="B48" s="66" t="s">
        <v>174</v>
      </c>
      <c r="C48" s="66" t="s">
        <v>1474</v>
      </c>
      <c r="D48" s="66" t="s">
        <v>1475</v>
      </c>
      <c r="E48" s="66" t="s">
        <v>1506</v>
      </c>
    </row>
    <row r="49">
      <c r="A49" s="66">
        <v>49.0</v>
      </c>
      <c r="B49" s="66" t="s">
        <v>178</v>
      </c>
      <c r="C49" s="66" t="s">
        <v>1474</v>
      </c>
      <c r="D49" s="66" t="s">
        <v>1475</v>
      </c>
      <c r="E49" s="66" t="s">
        <v>1507</v>
      </c>
    </row>
    <row r="50">
      <c r="A50" s="66">
        <v>50.0</v>
      </c>
      <c r="B50" s="66" t="s">
        <v>180</v>
      </c>
      <c r="C50" s="66" t="s">
        <v>1474</v>
      </c>
      <c r="D50" s="66" t="s">
        <v>1475</v>
      </c>
      <c r="E50" s="66" t="s">
        <v>1509</v>
      </c>
    </row>
    <row r="51">
      <c r="A51" s="66">
        <v>51.0</v>
      </c>
      <c r="B51" s="66" t="s">
        <v>184</v>
      </c>
      <c r="C51" s="66" t="s">
        <v>1474</v>
      </c>
      <c r="D51" s="66" t="s">
        <v>1475</v>
      </c>
      <c r="E51" s="66" t="s">
        <v>1510</v>
      </c>
    </row>
    <row r="52">
      <c r="A52" s="66">
        <v>52.0</v>
      </c>
      <c r="B52" s="66" t="s">
        <v>187</v>
      </c>
      <c r="C52" s="66" t="s">
        <v>1474</v>
      </c>
      <c r="D52" s="66" t="s">
        <v>1475</v>
      </c>
      <c r="E52" s="66" t="s">
        <v>1511</v>
      </c>
    </row>
    <row r="53">
      <c r="A53" s="66">
        <v>53.0</v>
      </c>
      <c r="B53" s="66" t="s">
        <v>190</v>
      </c>
      <c r="C53" s="66" t="s">
        <v>1474</v>
      </c>
      <c r="D53" s="66" t="s">
        <v>1475</v>
      </c>
      <c r="E53" s="66" t="s">
        <v>1513</v>
      </c>
    </row>
    <row r="54">
      <c r="A54" s="66">
        <v>54.0</v>
      </c>
      <c r="B54" s="66" t="s">
        <v>194</v>
      </c>
      <c r="C54" s="66" t="s">
        <v>1474</v>
      </c>
      <c r="D54" s="66" t="s">
        <v>1475</v>
      </c>
      <c r="E54" s="66" t="s">
        <v>1514</v>
      </c>
    </row>
    <row r="55">
      <c r="A55" s="66">
        <v>55.0</v>
      </c>
      <c r="B55" s="66" t="s">
        <v>197</v>
      </c>
      <c r="C55" s="66" t="s">
        <v>1474</v>
      </c>
      <c r="D55" s="66" t="s">
        <v>1475</v>
      </c>
      <c r="E55" s="66" t="s">
        <v>1515</v>
      </c>
    </row>
    <row r="56">
      <c r="A56" s="66">
        <v>56.0</v>
      </c>
      <c r="B56" s="66" t="s">
        <v>199</v>
      </c>
      <c r="C56" s="66" t="s">
        <v>1120</v>
      </c>
      <c r="D56" s="66" t="s">
        <v>1123</v>
      </c>
      <c r="E56" s="66" t="s">
        <v>1124</v>
      </c>
    </row>
    <row r="57">
      <c r="A57" s="66">
        <v>57.0</v>
      </c>
      <c r="B57" s="66" t="s">
        <v>201</v>
      </c>
      <c r="C57" s="66" t="s">
        <v>1474</v>
      </c>
      <c r="D57" s="66" t="s">
        <v>1475</v>
      </c>
      <c r="E57" s="66" t="s">
        <v>1516</v>
      </c>
    </row>
    <row r="58">
      <c r="A58" s="66">
        <v>58.0</v>
      </c>
      <c r="B58" s="66" t="s">
        <v>204</v>
      </c>
      <c r="C58" s="66" t="s">
        <v>1474</v>
      </c>
      <c r="D58" s="66" t="s">
        <v>1475</v>
      </c>
      <c r="E58" s="66" t="s">
        <v>1517</v>
      </c>
    </row>
    <row r="59">
      <c r="A59" s="66">
        <v>59.0</v>
      </c>
      <c r="B59" s="66" t="s">
        <v>207</v>
      </c>
      <c r="C59" s="66" t="s">
        <v>1414</v>
      </c>
      <c r="D59" s="66" t="s">
        <v>1415</v>
      </c>
      <c r="E59" s="66" t="s">
        <v>1420</v>
      </c>
    </row>
    <row r="60">
      <c r="A60" s="66">
        <v>60.0</v>
      </c>
      <c r="B60" s="66" t="s">
        <v>212</v>
      </c>
      <c r="C60" s="66" t="s">
        <v>1343</v>
      </c>
      <c r="D60" s="66" t="s">
        <v>1344</v>
      </c>
      <c r="E60" s="66" t="s">
        <v>1350</v>
      </c>
    </row>
    <row r="61">
      <c r="A61" s="66">
        <v>61.0</v>
      </c>
      <c r="B61" s="66" t="s">
        <v>216</v>
      </c>
      <c r="C61" s="66" t="s">
        <v>1343</v>
      </c>
      <c r="D61" s="66" t="s">
        <v>1344</v>
      </c>
      <c r="E61" s="66" t="s">
        <v>1349</v>
      </c>
    </row>
    <row r="62">
      <c r="A62" s="66">
        <v>62.0</v>
      </c>
      <c r="B62" s="66" t="s">
        <v>219</v>
      </c>
      <c r="C62" s="66" t="s">
        <v>1343</v>
      </c>
      <c r="D62" s="66" t="s">
        <v>1344</v>
      </c>
      <c r="E62" s="66" t="s">
        <v>1347</v>
      </c>
    </row>
    <row r="63">
      <c r="A63" s="66">
        <v>63.0</v>
      </c>
      <c r="B63" s="66" t="s">
        <v>223</v>
      </c>
      <c r="C63" s="66" t="s">
        <v>1343</v>
      </c>
      <c r="D63" s="66" t="s">
        <v>1344</v>
      </c>
      <c r="E63" s="66" t="s">
        <v>1352</v>
      </c>
    </row>
    <row r="64">
      <c r="A64" s="66">
        <v>64.0</v>
      </c>
      <c r="B64" s="66" t="s">
        <v>227</v>
      </c>
      <c r="C64" s="66" t="s">
        <v>1343</v>
      </c>
      <c r="D64" s="66" t="s">
        <v>1344</v>
      </c>
      <c r="E64" s="66" t="s">
        <v>1351</v>
      </c>
    </row>
    <row r="65">
      <c r="A65" s="66">
        <v>65.0</v>
      </c>
      <c r="B65" s="66" t="s">
        <v>231</v>
      </c>
      <c r="C65" s="66" t="s">
        <v>1343</v>
      </c>
      <c r="D65" s="66" t="s">
        <v>1344</v>
      </c>
      <c r="E65" s="66" t="s">
        <v>1348</v>
      </c>
    </row>
    <row r="66">
      <c r="A66" s="66">
        <v>66.0</v>
      </c>
      <c r="B66" s="66" t="s">
        <v>235</v>
      </c>
      <c r="C66" s="66" t="s">
        <v>1343</v>
      </c>
      <c r="D66" s="66" t="s">
        <v>1344</v>
      </c>
      <c r="E66" s="66" t="s">
        <v>1377</v>
      </c>
    </row>
    <row r="67">
      <c r="A67" s="66">
        <v>67.0</v>
      </c>
      <c r="B67" s="66" t="s">
        <v>239</v>
      </c>
      <c r="C67" s="66" t="s">
        <v>1343</v>
      </c>
      <c r="D67" s="66" t="s">
        <v>1344</v>
      </c>
      <c r="E67" s="66" t="s">
        <v>1378</v>
      </c>
    </row>
    <row r="68">
      <c r="A68" s="66">
        <v>68.0</v>
      </c>
      <c r="B68" s="66" t="s">
        <v>243</v>
      </c>
      <c r="C68" s="66" t="s">
        <v>1343</v>
      </c>
      <c r="D68" s="66" t="s">
        <v>1344</v>
      </c>
      <c r="E68" s="66" t="s">
        <v>1374</v>
      </c>
    </row>
    <row r="69">
      <c r="A69" s="66">
        <v>69.0</v>
      </c>
      <c r="B69" s="66" t="s">
        <v>245</v>
      </c>
      <c r="C69" s="66" t="s">
        <v>1343</v>
      </c>
      <c r="D69" s="66" t="s">
        <v>1344</v>
      </c>
      <c r="E69" s="66" t="s">
        <v>1358</v>
      </c>
    </row>
    <row r="70">
      <c r="A70" s="66">
        <v>70.0</v>
      </c>
      <c r="B70" s="66" t="s">
        <v>249</v>
      </c>
      <c r="C70" s="66" t="s">
        <v>1343</v>
      </c>
      <c r="D70" s="66" t="s">
        <v>1344</v>
      </c>
      <c r="E70" s="66" t="s">
        <v>1359</v>
      </c>
    </row>
    <row r="71">
      <c r="A71" s="66">
        <v>71.0</v>
      </c>
      <c r="B71" s="66" t="s">
        <v>252</v>
      </c>
      <c r="C71" s="66" t="s">
        <v>1343</v>
      </c>
      <c r="D71" s="66" t="s">
        <v>1344</v>
      </c>
      <c r="E71" s="66" t="s">
        <v>1363</v>
      </c>
    </row>
    <row r="72">
      <c r="A72" s="66">
        <v>72.0</v>
      </c>
      <c r="B72" s="66" t="s">
        <v>255</v>
      </c>
      <c r="C72" s="66" t="s">
        <v>1343</v>
      </c>
      <c r="D72" s="66" t="s">
        <v>1344</v>
      </c>
      <c r="E72" s="66" t="s">
        <v>1365</v>
      </c>
    </row>
    <row r="73">
      <c r="A73" s="66">
        <v>73.0</v>
      </c>
      <c r="B73" s="66" t="s">
        <v>258</v>
      </c>
      <c r="C73" s="66" t="s">
        <v>1343</v>
      </c>
      <c r="D73" s="66" t="s">
        <v>1344</v>
      </c>
      <c r="E73" s="66" t="s">
        <v>1364</v>
      </c>
    </row>
    <row r="74">
      <c r="A74" s="66">
        <v>74.0</v>
      </c>
      <c r="B74" s="66" t="s">
        <v>261</v>
      </c>
      <c r="C74" s="66" t="s">
        <v>1343</v>
      </c>
      <c r="D74" s="66" t="s">
        <v>1344</v>
      </c>
      <c r="E74" s="66" t="s">
        <v>1362</v>
      </c>
    </row>
    <row r="75">
      <c r="A75" s="66">
        <v>75.0</v>
      </c>
      <c r="B75" s="66" t="s">
        <v>265</v>
      </c>
      <c r="C75" s="66" t="s">
        <v>1343</v>
      </c>
      <c r="D75" s="66" t="s">
        <v>1344</v>
      </c>
      <c r="E75" s="66" t="s">
        <v>1355</v>
      </c>
    </row>
    <row r="76">
      <c r="A76" s="66">
        <v>76.0</v>
      </c>
      <c r="B76" s="66" t="s">
        <v>267</v>
      </c>
      <c r="C76" s="66" t="s">
        <v>1343</v>
      </c>
      <c r="D76" s="66" t="s">
        <v>1344</v>
      </c>
      <c r="E76" s="66" t="s">
        <v>1379</v>
      </c>
    </row>
    <row r="77">
      <c r="A77" s="66">
        <v>77.0</v>
      </c>
      <c r="B77" s="66" t="s">
        <v>269</v>
      </c>
      <c r="C77" s="66" t="s">
        <v>1343</v>
      </c>
      <c r="D77" s="66" t="s">
        <v>1344</v>
      </c>
      <c r="E77" s="66" t="s">
        <v>1375</v>
      </c>
    </row>
    <row r="78">
      <c r="A78" s="66">
        <v>78.0</v>
      </c>
      <c r="B78" s="66" t="s">
        <v>271</v>
      </c>
      <c r="C78" s="66" t="s">
        <v>1343</v>
      </c>
      <c r="D78" s="66" t="s">
        <v>1344</v>
      </c>
      <c r="E78" s="66" t="s">
        <v>1372</v>
      </c>
    </row>
    <row r="79">
      <c r="A79" s="66">
        <v>79.0</v>
      </c>
      <c r="B79" s="66" t="s">
        <v>274</v>
      </c>
      <c r="C79" s="66" t="s">
        <v>1414</v>
      </c>
      <c r="D79" s="66" t="s">
        <v>1415</v>
      </c>
      <c r="E79" s="66" t="s">
        <v>1419</v>
      </c>
    </row>
    <row r="80">
      <c r="A80" s="66">
        <v>80.0</v>
      </c>
      <c r="B80" s="66" t="s">
        <v>277</v>
      </c>
      <c r="C80" s="66" t="s">
        <v>1414</v>
      </c>
      <c r="D80" s="66" t="s">
        <v>1415</v>
      </c>
      <c r="E80" s="66" t="s">
        <v>1433</v>
      </c>
    </row>
    <row r="81">
      <c r="A81" s="66">
        <v>81.0</v>
      </c>
      <c r="B81" s="66" t="s">
        <v>280</v>
      </c>
      <c r="C81" s="66" t="s">
        <v>1414</v>
      </c>
      <c r="D81" s="66" t="s">
        <v>1415</v>
      </c>
      <c r="E81" s="66" t="s">
        <v>1430</v>
      </c>
    </row>
    <row r="82">
      <c r="A82" s="66">
        <v>82.0</v>
      </c>
      <c r="B82" s="66" t="s">
        <v>283</v>
      </c>
      <c r="C82" s="66" t="s">
        <v>1414</v>
      </c>
      <c r="D82" s="66" t="s">
        <v>1415</v>
      </c>
      <c r="E82" s="66" t="s">
        <v>1434</v>
      </c>
    </row>
    <row r="83">
      <c r="A83" s="66">
        <v>83.0</v>
      </c>
      <c r="B83" s="66" t="s">
        <v>285</v>
      </c>
      <c r="C83" s="66" t="s">
        <v>1414</v>
      </c>
      <c r="D83" s="66" t="s">
        <v>1415</v>
      </c>
      <c r="E83" s="66" t="s">
        <v>1432</v>
      </c>
    </row>
    <row r="84">
      <c r="A84" s="66">
        <v>84.0</v>
      </c>
      <c r="B84" s="66" t="s">
        <v>287</v>
      </c>
      <c r="C84" s="66" t="s">
        <v>1414</v>
      </c>
      <c r="D84" s="66" t="s">
        <v>1415</v>
      </c>
      <c r="E84" s="66" t="s">
        <v>1431</v>
      </c>
    </row>
    <row r="85">
      <c r="A85" s="66">
        <v>85.0</v>
      </c>
      <c r="B85" s="66" t="s">
        <v>289</v>
      </c>
      <c r="C85" s="66" t="s">
        <v>1414</v>
      </c>
      <c r="D85" s="66" t="s">
        <v>1415</v>
      </c>
      <c r="E85" s="66" t="s">
        <v>1426</v>
      </c>
    </row>
    <row r="86">
      <c r="A86" s="66">
        <v>86.0</v>
      </c>
      <c r="B86" s="66" t="s">
        <v>291</v>
      </c>
      <c r="C86" s="66" t="s">
        <v>1474</v>
      </c>
      <c r="D86" s="66" t="s">
        <v>1475</v>
      </c>
      <c r="E86" s="66" t="s">
        <v>1521</v>
      </c>
    </row>
    <row r="87">
      <c r="A87" s="66">
        <v>87.0</v>
      </c>
      <c r="B87" s="66" t="s">
        <v>293</v>
      </c>
      <c r="C87" s="66" t="s">
        <v>1474</v>
      </c>
      <c r="D87" s="66" t="s">
        <v>1475</v>
      </c>
      <c r="E87" s="66" t="s">
        <v>1522</v>
      </c>
    </row>
    <row r="88">
      <c r="A88" s="66">
        <v>88.0</v>
      </c>
      <c r="B88" s="66" t="s">
        <v>295</v>
      </c>
      <c r="C88" s="66" t="s">
        <v>1474</v>
      </c>
      <c r="D88" s="66" t="s">
        <v>1475</v>
      </c>
      <c r="E88" s="66" t="s">
        <v>1523</v>
      </c>
    </row>
    <row r="89">
      <c r="A89" s="66">
        <v>89.0</v>
      </c>
      <c r="B89" s="66" t="s">
        <v>297</v>
      </c>
      <c r="C89" s="66" t="s">
        <v>1484</v>
      </c>
      <c r="D89" s="66" t="s">
        <v>1485</v>
      </c>
      <c r="E89" s="66" t="s">
        <v>1495</v>
      </c>
    </row>
    <row r="90">
      <c r="A90" s="66">
        <v>90.0</v>
      </c>
      <c r="B90" s="66" t="s">
        <v>299</v>
      </c>
      <c r="C90" s="66" t="s">
        <v>1484</v>
      </c>
      <c r="D90" s="66" t="s">
        <v>1485</v>
      </c>
      <c r="E90" s="66" t="s">
        <v>1505</v>
      </c>
    </row>
    <row r="91">
      <c r="A91" s="66">
        <v>91.0</v>
      </c>
      <c r="B91" s="66" t="s">
        <v>301</v>
      </c>
      <c r="C91" s="66" t="s">
        <v>1414</v>
      </c>
      <c r="D91" s="66" t="s">
        <v>1415</v>
      </c>
      <c r="E91" s="66" t="s">
        <v>1423</v>
      </c>
    </row>
    <row r="92">
      <c r="A92" s="66">
        <v>92.0</v>
      </c>
      <c r="B92" s="66" t="s">
        <v>303</v>
      </c>
      <c r="C92" s="66" t="s">
        <v>1414</v>
      </c>
      <c r="D92" s="66" t="s">
        <v>1415</v>
      </c>
      <c r="E92" s="66" t="s">
        <v>1417</v>
      </c>
    </row>
    <row r="93">
      <c r="A93" s="66">
        <v>93.0</v>
      </c>
      <c r="B93" s="66" t="s">
        <v>305</v>
      </c>
      <c r="C93" s="66" t="s">
        <v>1414</v>
      </c>
      <c r="D93" s="66" t="s">
        <v>1415</v>
      </c>
      <c r="E93" s="66" t="s">
        <v>1416</v>
      </c>
    </row>
    <row r="94">
      <c r="A94" s="66">
        <v>94.0</v>
      </c>
      <c r="B94" s="66" t="s">
        <v>306</v>
      </c>
      <c r="C94" s="66" t="s">
        <v>1492</v>
      </c>
      <c r="D94" s="66" t="s">
        <v>1493</v>
      </c>
      <c r="E94" s="66" t="s">
        <v>1525</v>
      </c>
    </row>
    <row r="95">
      <c r="A95" s="66">
        <v>95.0</v>
      </c>
      <c r="B95" s="66" t="s">
        <v>308</v>
      </c>
      <c r="C95" s="66" t="s">
        <v>1492</v>
      </c>
      <c r="D95" s="66" t="s">
        <v>1493</v>
      </c>
      <c r="E95" s="66" t="s">
        <v>1527</v>
      </c>
    </row>
    <row r="96">
      <c r="A96" s="66">
        <v>96.0</v>
      </c>
      <c r="B96" s="66" t="s">
        <v>310</v>
      </c>
      <c r="C96" s="66" t="s">
        <v>1332</v>
      </c>
      <c r="D96" s="66" t="s">
        <v>1333</v>
      </c>
      <c r="E96" s="66" t="s">
        <v>1339</v>
      </c>
    </row>
    <row r="97">
      <c r="A97" s="66">
        <v>97.0</v>
      </c>
      <c r="B97" s="66" t="s">
        <v>312</v>
      </c>
      <c r="C97" s="66" t="s">
        <v>1332</v>
      </c>
      <c r="D97" s="66" t="s">
        <v>1333</v>
      </c>
      <c r="E97" s="66" t="s">
        <v>1340</v>
      </c>
    </row>
    <row r="98">
      <c r="A98" s="66">
        <v>98.0</v>
      </c>
      <c r="B98" s="66" t="s">
        <v>314</v>
      </c>
      <c r="C98" s="66" t="s">
        <v>1332</v>
      </c>
      <c r="D98" s="66" t="s">
        <v>1333</v>
      </c>
      <c r="E98" s="66" t="s">
        <v>1337</v>
      </c>
    </row>
    <row r="99">
      <c r="A99" s="66">
        <v>99.0</v>
      </c>
      <c r="B99" s="66" t="s">
        <v>317</v>
      </c>
      <c r="C99" s="66" t="s">
        <v>1484</v>
      </c>
      <c r="D99" s="66" t="s">
        <v>1485</v>
      </c>
      <c r="E99" s="66" t="s">
        <v>1512</v>
      </c>
    </row>
    <row r="100">
      <c r="A100" s="66">
        <v>100.0</v>
      </c>
      <c r="B100" s="66" t="s">
        <v>319</v>
      </c>
      <c r="C100" s="66" t="s">
        <v>1457</v>
      </c>
      <c r="D100" s="66" t="s">
        <v>1458</v>
      </c>
      <c r="E100" s="66" t="s">
        <v>1529</v>
      </c>
    </row>
    <row r="101">
      <c r="A101" s="66">
        <v>101.0</v>
      </c>
      <c r="B101" s="66" t="s">
        <v>321</v>
      </c>
      <c r="C101" s="66" t="s">
        <v>1457</v>
      </c>
      <c r="D101" s="66" t="s">
        <v>1458</v>
      </c>
      <c r="E101" s="66" t="s">
        <v>1530</v>
      </c>
    </row>
    <row r="102">
      <c r="A102" s="66">
        <v>102.0</v>
      </c>
      <c r="B102" s="66" t="s">
        <v>323</v>
      </c>
      <c r="C102" s="66" t="s">
        <v>1457</v>
      </c>
      <c r="D102" s="66" t="s">
        <v>1458</v>
      </c>
      <c r="E102" s="66" t="s">
        <v>1531</v>
      </c>
    </row>
    <row r="103">
      <c r="A103" s="66">
        <v>103.0</v>
      </c>
      <c r="B103" s="66" t="s">
        <v>325</v>
      </c>
      <c r="C103" s="66" t="s">
        <v>1457</v>
      </c>
      <c r="D103" s="66" t="s">
        <v>1458</v>
      </c>
      <c r="E103" s="66" t="s">
        <v>1532</v>
      </c>
    </row>
    <row r="104">
      <c r="A104" s="66">
        <v>104.0</v>
      </c>
      <c r="B104" s="66" t="s">
        <v>327</v>
      </c>
      <c r="C104" s="66" t="s">
        <v>1457</v>
      </c>
      <c r="D104" s="66" t="s">
        <v>1458</v>
      </c>
      <c r="E104" s="66" t="s">
        <v>1533</v>
      </c>
    </row>
    <row r="105">
      <c r="A105" s="66">
        <v>105.0</v>
      </c>
      <c r="B105" s="66" t="s">
        <v>329</v>
      </c>
      <c r="C105" s="66" t="s">
        <v>1457</v>
      </c>
      <c r="D105" s="66" t="s">
        <v>1458</v>
      </c>
      <c r="E105" s="66" t="s">
        <v>1534</v>
      </c>
    </row>
    <row r="106">
      <c r="A106" s="66">
        <v>106.0</v>
      </c>
      <c r="B106" s="66" t="s">
        <v>332</v>
      </c>
      <c r="C106" s="66" t="s">
        <v>1457</v>
      </c>
      <c r="D106" s="66" t="s">
        <v>1458</v>
      </c>
      <c r="E106" s="66" t="s">
        <v>1536</v>
      </c>
    </row>
    <row r="107">
      <c r="A107" s="66">
        <v>107.0</v>
      </c>
      <c r="B107" s="66" t="s">
        <v>334</v>
      </c>
      <c r="C107" s="66" t="s">
        <v>1457</v>
      </c>
      <c r="D107" s="66" t="s">
        <v>1458</v>
      </c>
      <c r="E107" s="66" t="s">
        <v>1537</v>
      </c>
    </row>
    <row r="108">
      <c r="A108" s="66">
        <v>108.0</v>
      </c>
      <c r="B108" s="66" t="s">
        <v>336</v>
      </c>
      <c r="C108" s="66" t="s">
        <v>1457</v>
      </c>
      <c r="D108" s="66" t="s">
        <v>1458</v>
      </c>
      <c r="E108" s="66" t="s">
        <v>1538</v>
      </c>
    </row>
    <row r="109">
      <c r="A109" s="66">
        <v>109.0</v>
      </c>
      <c r="B109" s="66" t="s">
        <v>338</v>
      </c>
      <c r="C109" s="66" t="s">
        <v>1457</v>
      </c>
      <c r="D109" s="66" t="s">
        <v>1458</v>
      </c>
      <c r="E109" s="66" t="s">
        <v>1539</v>
      </c>
    </row>
    <row r="110">
      <c r="A110" s="66">
        <v>110.0</v>
      </c>
      <c r="B110" s="66" t="s">
        <v>341</v>
      </c>
      <c r="C110" s="66" t="s">
        <v>1188</v>
      </c>
      <c r="D110" s="66" t="s">
        <v>1189</v>
      </c>
      <c r="E110" s="66" t="s">
        <v>1190</v>
      </c>
    </row>
    <row r="111">
      <c r="A111" s="66">
        <v>111.0</v>
      </c>
      <c r="B111" s="66" t="s">
        <v>343</v>
      </c>
      <c r="C111" s="66" t="s">
        <v>1188</v>
      </c>
      <c r="D111" s="66" t="s">
        <v>1189</v>
      </c>
      <c r="E111" s="66" t="s">
        <v>1197</v>
      </c>
    </row>
    <row r="112">
      <c r="A112" s="66">
        <v>112.0</v>
      </c>
      <c r="B112" s="66" t="s">
        <v>345</v>
      </c>
      <c r="C112" s="66" t="s">
        <v>1188</v>
      </c>
      <c r="D112" s="66" t="s">
        <v>1189</v>
      </c>
      <c r="E112" s="66" t="s">
        <v>1203</v>
      </c>
    </row>
    <row r="113">
      <c r="A113" s="66">
        <v>113.0</v>
      </c>
      <c r="B113" s="66" t="s">
        <v>347</v>
      </c>
      <c r="C113" s="66" t="s">
        <v>1188</v>
      </c>
      <c r="D113" s="66" t="s">
        <v>1189</v>
      </c>
      <c r="E113" s="66" t="s">
        <v>1204</v>
      </c>
    </row>
    <row r="114">
      <c r="A114" s="66">
        <v>114.0</v>
      </c>
      <c r="B114" s="66" t="s">
        <v>1205</v>
      </c>
      <c r="C114" s="66" t="s">
        <v>1188</v>
      </c>
      <c r="D114" s="66" t="s">
        <v>1189</v>
      </c>
      <c r="E114" s="66" t="s">
        <v>1206</v>
      </c>
    </row>
    <row r="115">
      <c r="A115" s="66">
        <v>115.0</v>
      </c>
      <c r="B115" s="66" t="s">
        <v>351</v>
      </c>
      <c r="C115" s="66" t="s">
        <v>1188</v>
      </c>
      <c r="D115" s="66" t="s">
        <v>1189</v>
      </c>
      <c r="E115" s="66" t="s">
        <v>1202</v>
      </c>
    </row>
    <row r="116">
      <c r="A116" s="66">
        <v>116.0</v>
      </c>
      <c r="B116" s="66" t="s">
        <v>353</v>
      </c>
      <c r="C116" s="66" t="s">
        <v>1188</v>
      </c>
      <c r="D116" s="66" t="s">
        <v>1189</v>
      </c>
      <c r="E116" s="66" t="s">
        <v>1218</v>
      </c>
    </row>
    <row r="117">
      <c r="A117" s="66">
        <v>117.0</v>
      </c>
      <c r="B117" s="66" t="s">
        <v>355</v>
      </c>
      <c r="C117" s="66" t="s">
        <v>1188</v>
      </c>
      <c r="D117" s="66" t="s">
        <v>1189</v>
      </c>
      <c r="E117" s="66" t="s">
        <v>1217</v>
      </c>
    </row>
    <row r="118">
      <c r="A118" s="66">
        <v>118.0</v>
      </c>
      <c r="B118" s="66" t="s">
        <v>357</v>
      </c>
      <c r="C118" s="66" t="s">
        <v>1188</v>
      </c>
      <c r="D118" s="66" t="s">
        <v>1189</v>
      </c>
      <c r="E118" s="66" t="s">
        <v>1203</v>
      </c>
    </row>
    <row r="119">
      <c r="A119" s="66">
        <v>119.0</v>
      </c>
      <c r="B119" s="66" t="s">
        <v>359</v>
      </c>
      <c r="C119" s="66" t="s">
        <v>1188</v>
      </c>
      <c r="D119" s="66" t="s">
        <v>1189</v>
      </c>
      <c r="E119" s="66" t="s">
        <v>1228</v>
      </c>
    </row>
    <row r="120">
      <c r="A120" s="66">
        <v>120.0</v>
      </c>
      <c r="B120" s="66" t="s">
        <v>361</v>
      </c>
      <c r="C120" s="66" t="s">
        <v>1188</v>
      </c>
      <c r="D120" s="66" t="s">
        <v>1189</v>
      </c>
      <c r="E120" s="66" t="s">
        <v>1239</v>
      </c>
    </row>
    <row r="121">
      <c r="A121" s="66">
        <v>121.0</v>
      </c>
      <c r="B121" s="66" t="s">
        <v>363</v>
      </c>
      <c r="C121" s="66" t="s">
        <v>1188</v>
      </c>
      <c r="D121" s="66" t="s">
        <v>1189</v>
      </c>
      <c r="E121" s="66" t="s">
        <v>1238</v>
      </c>
    </row>
    <row r="122">
      <c r="A122" s="66">
        <v>122.0</v>
      </c>
      <c r="B122" s="66" t="s">
        <v>365</v>
      </c>
      <c r="C122" s="66" t="s">
        <v>1188</v>
      </c>
      <c r="D122" s="66" t="s">
        <v>1189</v>
      </c>
      <c r="E122" s="66" t="s">
        <v>1196</v>
      </c>
    </row>
    <row r="123">
      <c r="A123" s="66">
        <v>123.0</v>
      </c>
      <c r="B123" s="66" t="s">
        <v>367</v>
      </c>
      <c r="C123" s="66" t="s">
        <v>1188</v>
      </c>
      <c r="D123" s="66" t="s">
        <v>1189</v>
      </c>
      <c r="E123" s="66" t="s">
        <v>1193</v>
      </c>
    </row>
    <row r="124">
      <c r="A124" s="66">
        <v>124.0</v>
      </c>
      <c r="B124" s="66" t="s">
        <v>369</v>
      </c>
      <c r="C124" s="66" t="s">
        <v>1188</v>
      </c>
      <c r="D124" s="66" t="s">
        <v>1189</v>
      </c>
      <c r="E124" s="66" t="s">
        <v>1198</v>
      </c>
    </row>
    <row r="125">
      <c r="A125" s="66">
        <v>125.0</v>
      </c>
      <c r="B125" s="66" t="s">
        <v>371</v>
      </c>
      <c r="C125" s="66" t="s">
        <v>1188</v>
      </c>
      <c r="D125" s="66" t="s">
        <v>1189</v>
      </c>
      <c r="E125" s="66" t="s">
        <v>1212</v>
      </c>
    </row>
    <row r="126">
      <c r="A126" s="66">
        <v>126.0</v>
      </c>
      <c r="B126" s="66" t="s">
        <v>373</v>
      </c>
      <c r="C126" s="66" t="s">
        <v>1188</v>
      </c>
      <c r="D126" s="66" t="s">
        <v>1189</v>
      </c>
      <c r="E126" s="66" t="s">
        <v>1211</v>
      </c>
    </row>
    <row r="127">
      <c r="A127" s="66">
        <v>127.0</v>
      </c>
      <c r="B127" s="66" t="s">
        <v>375</v>
      </c>
      <c r="C127" s="66" t="s">
        <v>1188</v>
      </c>
      <c r="D127" s="66" t="s">
        <v>1189</v>
      </c>
      <c r="E127" s="66" t="s">
        <v>1223</v>
      </c>
    </row>
    <row r="128">
      <c r="A128" s="66">
        <v>128.0</v>
      </c>
      <c r="B128" s="66" t="s">
        <v>377</v>
      </c>
      <c r="C128" s="66" t="s">
        <v>1188</v>
      </c>
      <c r="D128" s="66" t="s">
        <v>1189</v>
      </c>
      <c r="E128" s="66" t="s">
        <v>1236</v>
      </c>
    </row>
    <row r="129">
      <c r="A129" s="66">
        <v>129.0</v>
      </c>
      <c r="B129" s="66" t="s">
        <v>379</v>
      </c>
      <c r="C129" s="66" t="s">
        <v>1188</v>
      </c>
      <c r="D129" s="66" t="s">
        <v>1189</v>
      </c>
      <c r="E129" s="66" t="s">
        <v>1244</v>
      </c>
    </row>
    <row r="130">
      <c r="A130" s="66">
        <v>130.0</v>
      </c>
      <c r="B130" s="66" t="s">
        <v>381</v>
      </c>
      <c r="C130" s="66" t="s">
        <v>1188</v>
      </c>
      <c r="D130" s="66" t="s">
        <v>1189</v>
      </c>
      <c r="E130" s="66" t="s">
        <v>1243</v>
      </c>
    </row>
    <row r="131">
      <c r="A131" s="66">
        <v>131.0</v>
      </c>
      <c r="B131" s="66" t="s">
        <v>383</v>
      </c>
      <c r="C131" s="66" t="s">
        <v>1188</v>
      </c>
      <c r="D131" s="66" t="s">
        <v>1189</v>
      </c>
      <c r="E131" s="66" t="s">
        <v>1195</v>
      </c>
    </row>
    <row r="132">
      <c r="A132" s="66">
        <v>132.0</v>
      </c>
      <c r="B132" s="66" t="s">
        <v>385</v>
      </c>
      <c r="C132" s="66" t="s">
        <v>1188</v>
      </c>
      <c r="D132" s="66" t="s">
        <v>1189</v>
      </c>
      <c r="E132" s="66" t="s">
        <v>1192</v>
      </c>
    </row>
    <row r="133">
      <c r="A133" s="66">
        <v>133.0</v>
      </c>
      <c r="B133" s="66" t="s">
        <v>387</v>
      </c>
      <c r="C133" s="66" t="s">
        <v>1188</v>
      </c>
      <c r="D133" s="66" t="s">
        <v>1189</v>
      </c>
      <c r="E133" s="66" t="s">
        <v>1191</v>
      </c>
    </row>
    <row r="134">
      <c r="A134" s="66">
        <v>134.0</v>
      </c>
      <c r="B134" s="66" t="s">
        <v>389</v>
      </c>
      <c r="C134" s="66" t="s">
        <v>1188</v>
      </c>
      <c r="D134" s="66" t="s">
        <v>1189</v>
      </c>
      <c r="E134" s="66" t="s">
        <v>1210</v>
      </c>
    </row>
    <row r="135">
      <c r="A135" s="66">
        <v>135.0</v>
      </c>
      <c r="B135" s="66" t="s">
        <v>391</v>
      </c>
      <c r="C135" s="66" t="s">
        <v>1188</v>
      </c>
      <c r="D135" s="66" t="s">
        <v>1189</v>
      </c>
      <c r="E135" s="66" t="s">
        <v>1214</v>
      </c>
    </row>
    <row r="136">
      <c r="A136" s="66">
        <v>136.0</v>
      </c>
      <c r="B136" s="66" t="s">
        <v>393</v>
      </c>
      <c r="C136" s="66" t="s">
        <v>1188</v>
      </c>
      <c r="D136" s="66" t="s">
        <v>1189</v>
      </c>
      <c r="E136" s="66" t="s">
        <v>1226</v>
      </c>
    </row>
    <row r="137">
      <c r="A137" s="66">
        <v>137.0</v>
      </c>
      <c r="B137" s="66" t="s">
        <v>395</v>
      </c>
      <c r="C137" s="66" t="s">
        <v>1188</v>
      </c>
      <c r="D137" s="66" t="s">
        <v>1189</v>
      </c>
      <c r="E137" s="66" t="s">
        <v>1222</v>
      </c>
    </row>
    <row r="138">
      <c r="A138" s="66">
        <v>138.0</v>
      </c>
      <c r="B138" s="66" t="s">
        <v>397</v>
      </c>
      <c r="C138" s="66" t="s">
        <v>1188</v>
      </c>
      <c r="D138" s="66" t="s">
        <v>1189</v>
      </c>
      <c r="E138" s="66" t="s">
        <v>1220</v>
      </c>
    </row>
    <row r="139">
      <c r="A139" s="66">
        <v>139.0</v>
      </c>
      <c r="B139" s="66" t="s">
        <v>399</v>
      </c>
      <c r="C139" s="66" t="s">
        <v>1188</v>
      </c>
      <c r="D139" s="66" t="s">
        <v>1189</v>
      </c>
      <c r="E139" s="66" t="s">
        <v>1233</v>
      </c>
    </row>
    <row r="140">
      <c r="A140" s="66">
        <v>140.0</v>
      </c>
      <c r="B140" s="66" t="s">
        <v>401</v>
      </c>
      <c r="C140" s="66" t="s">
        <v>1188</v>
      </c>
      <c r="D140" s="66" t="s">
        <v>1189</v>
      </c>
      <c r="E140" s="66" t="s">
        <v>1242</v>
      </c>
    </row>
    <row r="141">
      <c r="A141" s="66">
        <v>141.0</v>
      </c>
      <c r="B141" s="66" t="s">
        <v>403</v>
      </c>
      <c r="C141" s="66" t="s">
        <v>1188</v>
      </c>
      <c r="D141" s="66" t="s">
        <v>1189</v>
      </c>
      <c r="E141" s="66" t="s">
        <v>1207</v>
      </c>
    </row>
    <row r="142">
      <c r="A142" s="66">
        <v>142.0</v>
      </c>
      <c r="B142" s="66" t="s">
        <v>405</v>
      </c>
      <c r="C142" s="66" t="s">
        <v>1188</v>
      </c>
      <c r="D142" s="66" t="s">
        <v>1189</v>
      </c>
      <c r="E142" s="66" t="s">
        <v>1209</v>
      </c>
    </row>
    <row r="143">
      <c r="A143" s="66">
        <v>143.0</v>
      </c>
      <c r="B143" s="66" t="s">
        <v>407</v>
      </c>
      <c r="C143" s="66" t="s">
        <v>1188</v>
      </c>
      <c r="D143" s="66" t="s">
        <v>1189</v>
      </c>
      <c r="E143" s="66" t="s">
        <v>1208</v>
      </c>
    </row>
    <row r="144">
      <c r="A144" s="66">
        <v>144.0</v>
      </c>
      <c r="B144" s="66" t="s">
        <v>409</v>
      </c>
      <c r="C144" s="66" t="s">
        <v>1188</v>
      </c>
      <c r="D144" s="66" t="s">
        <v>1189</v>
      </c>
      <c r="E144" s="66" t="s">
        <v>1221</v>
      </c>
    </row>
    <row r="145">
      <c r="A145" s="66">
        <v>145.0</v>
      </c>
      <c r="B145" s="66" t="s">
        <v>411</v>
      </c>
      <c r="C145" s="66" t="s">
        <v>1188</v>
      </c>
      <c r="D145" s="66" t="s">
        <v>1189</v>
      </c>
      <c r="E145" s="66" t="s">
        <v>1231</v>
      </c>
    </row>
    <row r="146">
      <c r="A146" s="66">
        <v>146.0</v>
      </c>
      <c r="B146" s="66" t="s">
        <v>413</v>
      </c>
      <c r="C146" s="66" t="s">
        <v>1188</v>
      </c>
      <c r="D146" s="66" t="s">
        <v>1189</v>
      </c>
      <c r="E146" s="66" t="s">
        <v>1234</v>
      </c>
    </row>
    <row r="147">
      <c r="A147" s="66">
        <v>147.0</v>
      </c>
      <c r="B147" s="66" t="s">
        <v>415</v>
      </c>
      <c r="C147" s="66" t="s">
        <v>1188</v>
      </c>
      <c r="D147" s="66" t="s">
        <v>1189</v>
      </c>
      <c r="E147" s="66" t="s">
        <v>1240</v>
      </c>
    </row>
    <row r="148">
      <c r="A148" s="66">
        <v>148.0</v>
      </c>
      <c r="B148" s="66" t="s">
        <v>417</v>
      </c>
      <c r="C148" s="66" t="s">
        <v>1188</v>
      </c>
      <c r="D148" s="66" t="s">
        <v>1189</v>
      </c>
      <c r="E148" s="66" t="s">
        <v>1194</v>
      </c>
    </row>
    <row r="149">
      <c r="A149" s="66">
        <v>149.0</v>
      </c>
      <c r="B149" s="66" t="s">
        <v>419</v>
      </c>
      <c r="C149" s="66" t="s">
        <v>1188</v>
      </c>
      <c r="D149" s="66" t="s">
        <v>1189</v>
      </c>
      <c r="E149" s="66" t="s">
        <v>1199</v>
      </c>
    </row>
    <row r="150">
      <c r="A150" s="66">
        <v>150.0</v>
      </c>
      <c r="B150" s="66" t="s">
        <v>421</v>
      </c>
      <c r="C150" s="66" t="s">
        <v>1188</v>
      </c>
      <c r="D150" s="66" t="s">
        <v>1189</v>
      </c>
      <c r="E150" s="66" t="s">
        <v>1200</v>
      </c>
    </row>
    <row r="151">
      <c r="A151" s="66">
        <v>151.0</v>
      </c>
      <c r="B151" s="66" t="s">
        <v>423</v>
      </c>
      <c r="C151" s="66" t="s">
        <v>1188</v>
      </c>
      <c r="D151" s="66" t="s">
        <v>1189</v>
      </c>
      <c r="E151" s="66" t="s">
        <v>1201</v>
      </c>
    </row>
    <row r="152">
      <c r="A152" s="66">
        <v>152.0</v>
      </c>
      <c r="B152" s="66" t="s">
        <v>425</v>
      </c>
      <c r="C152" s="66" t="s">
        <v>1188</v>
      </c>
      <c r="D152" s="66" t="s">
        <v>1189</v>
      </c>
      <c r="E152" s="66" t="s">
        <v>1213</v>
      </c>
    </row>
    <row r="153">
      <c r="A153" s="66">
        <v>153.0</v>
      </c>
      <c r="B153" s="66" t="s">
        <v>427</v>
      </c>
      <c r="C153" s="66" t="s">
        <v>1188</v>
      </c>
      <c r="D153" s="66" t="s">
        <v>1189</v>
      </c>
      <c r="E153" s="66" t="s">
        <v>1224</v>
      </c>
    </row>
    <row r="154">
      <c r="A154" s="66">
        <v>154.0</v>
      </c>
      <c r="B154" s="66" t="s">
        <v>429</v>
      </c>
      <c r="C154" s="66" t="s">
        <v>1188</v>
      </c>
      <c r="D154" s="66" t="s">
        <v>1189</v>
      </c>
      <c r="E154" s="66" t="s">
        <v>1235</v>
      </c>
    </row>
    <row r="155">
      <c r="A155" s="66">
        <v>155.0</v>
      </c>
      <c r="B155" s="66" t="s">
        <v>431</v>
      </c>
      <c r="C155" s="66" t="s">
        <v>1188</v>
      </c>
      <c r="D155" s="66" t="s">
        <v>1189</v>
      </c>
      <c r="E155" s="66" t="s">
        <v>1245</v>
      </c>
    </row>
    <row r="156">
      <c r="A156" s="66">
        <v>156.0</v>
      </c>
      <c r="B156" s="66" t="s">
        <v>433</v>
      </c>
      <c r="C156" s="66" t="s">
        <v>1188</v>
      </c>
      <c r="D156" s="66" t="s">
        <v>1189</v>
      </c>
      <c r="E156" s="66" t="s">
        <v>1258</v>
      </c>
    </row>
    <row r="157">
      <c r="A157" s="66">
        <v>157.0</v>
      </c>
      <c r="B157" s="66" t="s">
        <v>435</v>
      </c>
      <c r="C157" s="66" t="s">
        <v>1188</v>
      </c>
      <c r="D157" s="66" t="s">
        <v>1189</v>
      </c>
      <c r="E157" s="66" t="s">
        <v>1248</v>
      </c>
    </row>
    <row r="158">
      <c r="A158" s="66">
        <v>158.0</v>
      </c>
      <c r="B158" s="66" t="s">
        <v>437</v>
      </c>
      <c r="C158" s="66" t="s">
        <v>1188</v>
      </c>
      <c r="D158" s="66" t="s">
        <v>1189</v>
      </c>
      <c r="E158" s="66" t="s">
        <v>1250</v>
      </c>
    </row>
    <row r="159">
      <c r="A159" s="66">
        <v>159.0</v>
      </c>
      <c r="B159" s="66" t="s">
        <v>439</v>
      </c>
      <c r="C159" s="66" t="s">
        <v>1188</v>
      </c>
      <c r="D159" s="66" t="s">
        <v>1189</v>
      </c>
      <c r="E159" s="66" t="s">
        <v>1249</v>
      </c>
    </row>
    <row r="160">
      <c r="A160" s="66">
        <v>160.0</v>
      </c>
      <c r="B160" s="66" t="s">
        <v>441</v>
      </c>
      <c r="C160" s="66" t="s">
        <v>1188</v>
      </c>
      <c r="D160" s="66" t="s">
        <v>1189</v>
      </c>
      <c r="E160" s="66" t="s">
        <v>1251</v>
      </c>
    </row>
    <row r="161">
      <c r="A161" s="66">
        <v>161.0</v>
      </c>
      <c r="B161" s="66" t="s">
        <v>443</v>
      </c>
      <c r="C161" s="66" t="s">
        <v>1188</v>
      </c>
      <c r="D161" s="66" t="s">
        <v>1189</v>
      </c>
      <c r="E161" s="66" t="s">
        <v>1215</v>
      </c>
    </row>
    <row r="162">
      <c r="A162" s="66">
        <v>162.0</v>
      </c>
      <c r="B162" s="66" t="s">
        <v>445</v>
      </c>
      <c r="C162" s="66" t="s">
        <v>1188</v>
      </c>
      <c r="D162" s="66" t="s">
        <v>1189</v>
      </c>
      <c r="E162" s="66" t="s">
        <v>1227</v>
      </c>
    </row>
    <row r="163">
      <c r="A163" s="66">
        <v>163.0</v>
      </c>
      <c r="B163" s="66" t="s">
        <v>447</v>
      </c>
      <c r="C163" s="66" t="s">
        <v>1188</v>
      </c>
      <c r="D163" s="66" t="s">
        <v>1189</v>
      </c>
      <c r="E163" s="66" t="s">
        <v>1247</v>
      </c>
    </row>
    <row r="164">
      <c r="A164" s="66">
        <v>164.0</v>
      </c>
      <c r="B164" s="66" t="s">
        <v>449</v>
      </c>
      <c r="C164" s="66" t="s">
        <v>1188</v>
      </c>
      <c r="D164" s="66" t="s">
        <v>1189</v>
      </c>
      <c r="E164" s="66" t="s">
        <v>1225</v>
      </c>
    </row>
    <row r="165">
      <c r="A165" s="66">
        <v>165.0</v>
      </c>
      <c r="B165" s="66" t="s">
        <v>451</v>
      </c>
      <c r="C165" s="66" t="s">
        <v>1543</v>
      </c>
      <c r="D165" s="66" t="s">
        <v>1544</v>
      </c>
      <c r="E165" s="66" t="s">
        <v>1552</v>
      </c>
    </row>
    <row r="166">
      <c r="A166" s="66">
        <v>166.0</v>
      </c>
      <c r="B166" s="66" t="s">
        <v>454</v>
      </c>
      <c r="C166" s="66" t="s">
        <v>1543</v>
      </c>
      <c r="D166" s="66" t="s">
        <v>1544</v>
      </c>
      <c r="E166" s="66" t="s">
        <v>1553</v>
      </c>
    </row>
    <row r="167">
      <c r="A167" s="66">
        <v>167.0</v>
      </c>
      <c r="B167" s="66" t="s">
        <v>457</v>
      </c>
      <c r="C167" s="66" t="s">
        <v>1543</v>
      </c>
      <c r="D167" s="66" t="s">
        <v>1544</v>
      </c>
      <c r="E167" s="66" t="s">
        <v>1554</v>
      </c>
    </row>
    <row r="168">
      <c r="A168" s="66">
        <v>168.0</v>
      </c>
      <c r="B168" s="66" t="s">
        <v>460</v>
      </c>
      <c r="C168" s="66" t="s">
        <v>1543</v>
      </c>
      <c r="D168" s="66" t="s">
        <v>1544</v>
      </c>
      <c r="E168" s="66" t="s">
        <v>1556</v>
      </c>
    </row>
    <row r="169">
      <c r="A169" s="66">
        <v>169.0</v>
      </c>
      <c r="B169" s="66" t="s">
        <v>463</v>
      </c>
      <c r="C169" s="66" t="s">
        <v>1543</v>
      </c>
      <c r="D169" s="66" t="s">
        <v>1544</v>
      </c>
      <c r="E169" s="66" t="s">
        <v>1557</v>
      </c>
    </row>
    <row r="170">
      <c r="A170" s="66">
        <v>170.0</v>
      </c>
      <c r="B170" s="66" t="s">
        <v>466</v>
      </c>
      <c r="C170" s="66" t="s">
        <v>1543</v>
      </c>
      <c r="D170" s="66" t="s">
        <v>1544</v>
      </c>
      <c r="E170" s="66" t="s">
        <v>1548</v>
      </c>
    </row>
    <row r="171">
      <c r="A171" s="66">
        <v>171.0</v>
      </c>
      <c r="B171" s="66" t="s">
        <v>469</v>
      </c>
      <c r="C171" s="66" t="s">
        <v>1543</v>
      </c>
      <c r="D171" s="66" t="s">
        <v>1544</v>
      </c>
      <c r="E171" s="66" t="s">
        <v>1559</v>
      </c>
    </row>
    <row r="172">
      <c r="A172" s="66">
        <v>172.0</v>
      </c>
      <c r="B172" s="66" t="s">
        <v>471</v>
      </c>
      <c r="C172" s="66" t="s">
        <v>1543</v>
      </c>
      <c r="D172" s="66" t="s">
        <v>1544</v>
      </c>
      <c r="E172" s="66" t="s">
        <v>1560</v>
      </c>
    </row>
    <row r="173">
      <c r="A173" s="66">
        <v>173.0</v>
      </c>
      <c r="B173" s="66" t="s">
        <v>473</v>
      </c>
      <c r="C173" s="66" t="s">
        <v>1543</v>
      </c>
      <c r="D173" s="66" t="s">
        <v>1544</v>
      </c>
      <c r="E173" s="66" t="s">
        <v>1561</v>
      </c>
    </row>
    <row r="174">
      <c r="A174" s="66">
        <v>174.0</v>
      </c>
      <c r="B174" s="66" t="s">
        <v>476</v>
      </c>
      <c r="C174" s="66" t="s">
        <v>1543</v>
      </c>
      <c r="D174" s="66" t="s">
        <v>1544</v>
      </c>
      <c r="E174" s="66" t="s">
        <v>1562</v>
      </c>
    </row>
    <row r="175">
      <c r="A175" s="66">
        <v>175.0</v>
      </c>
      <c r="B175" s="66" t="s">
        <v>479</v>
      </c>
      <c r="C175" s="66" t="s">
        <v>1543</v>
      </c>
      <c r="D175" s="66" t="s">
        <v>1544</v>
      </c>
      <c r="E175" s="66" t="s">
        <v>1550</v>
      </c>
    </row>
    <row r="176">
      <c r="A176" s="66">
        <v>176.0</v>
      </c>
      <c r="B176" s="66" t="s">
        <v>481</v>
      </c>
      <c r="C176" s="66" t="s">
        <v>1543</v>
      </c>
      <c r="D176" s="66" t="s">
        <v>1544</v>
      </c>
      <c r="E176" s="66" t="s">
        <v>1564</v>
      </c>
    </row>
    <row r="177">
      <c r="A177" s="66">
        <v>177.0</v>
      </c>
      <c r="B177" s="66" t="s">
        <v>483</v>
      </c>
      <c r="C177" s="66" t="s">
        <v>1543</v>
      </c>
      <c r="D177" s="66" t="s">
        <v>1544</v>
      </c>
      <c r="E177" s="66" t="s">
        <v>1565</v>
      </c>
    </row>
    <row r="178">
      <c r="A178" s="66">
        <v>178.0</v>
      </c>
      <c r="B178" s="66" t="s">
        <v>486</v>
      </c>
      <c r="C178" s="66" t="s">
        <v>1543</v>
      </c>
      <c r="D178" s="66" t="s">
        <v>1544</v>
      </c>
      <c r="E178" s="66" t="s">
        <v>1547</v>
      </c>
    </row>
    <row r="179">
      <c r="A179" s="66">
        <v>179.0</v>
      </c>
      <c r="B179" s="66" t="s">
        <v>489</v>
      </c>
      <c r="C179" s="66" t="s">
        <v>1543</v>
      </c>
      <c r="D179" s="66" t="s">
        <v>1544</v>
      </c>
      <c r="E179" s="66" t="s">
        <v>1546</v>
      </c>
    </row>
    <row r="180">
      <c r="A180" s="66">
        <v>180.0</v>
      </c>
      <c r="B180" s="66" t="s">
        <v>491</v>
      </c>
      <c r="C180" s="66" t="s">
        <v>1543</v>
      </c>
      <c r="D180" s="66" t="s">
        <v>1544</v>
      </c>
      <c r="E180" s="66" t="s">
        <v>1549</v>
      </c>
    </row>
    <row r="181">
      <c r="A181" s="66">
        <v>181.0</v>
      </c>
      <c r="B181" s="66" t="s">
        <v>493</v>
      </c>
      <c r="C181" s="66" t="s">
        <v>1543</v>
      </c>
      <c r="D181" s="66" t="s">
        <v>1544</v>
      </c>
      <c r="E181" s="66" t="s">
        <v>1558</v>
      </c>
    </row>
    <row r="182">
      <c r="A182" s="66">
        <v>182.0</v>
      </c>
      <c r="B182" s="66" t="s">
        <v>495</v>
      </c>
      <c r="C182" s="66" t="s">
        <v>1543</v>
      </c>
      <c r="D182" s="66" t="s">
        <v>1544</v>
      </c>
      <c r="E182" s="66" t="s">
        <v>1566</v>
      </c>
    </row>
    <row r="183">
      <c r="A183" s="66">
        <v>183.0</v>
      </c>
      <c r="B183" s="66" t="s">
        <v>497</v>
      </c>
      <c r="C183" s="66" t="s">
        <v>1543</v>
      </c>
      <c r="D183" s="66" t="s">
        <v>1544</v>
      </c>
      <c r="E183" s="66" t="s">
        <v>1567</v>
      </c>
    </row>
    <row r="184">
      <c r="A184" s="66">
        <v>184.0</v>
      </c>
      <c r="B184" s="66" t="s">
        <v>499</v>
      </c>
      <c r="C184" s="66" t="s">
        <v>1543</v>
      </c>
      <c r="D184" s="66" t="s">
        <v>1544</v>
      </c>
      <c r="E184" s="66" t="s">
        <v>1568</v>
      </c>
    </row>
    <row r="185">
      <c r="A185" s="66">
        <v>185.0</v>
      </c>
      <c r="B185" s="66" t="s">
        <v>501</v>
      </c>
      <c r="C185" s="66" t="s">
        <v>1543</v>
      </c>
      <c r="D185" s="66" t="s">
        <v>1544</v>
      </c>
      <c r="E185" s="66" t="s">
        <v>1555</v>
      </c>
    </row>
    <row r="186">
      <c r="A186" s="66">
        <v>186.0</v>
      </c>
      <c r="B186" s="66" t="s">
        <v>504</v>
      </c>
      <c r="C186" s="66" t="s">
        <v>1543</v>
      </c>
      <c r="D186" s="66" t="s">
        <v>1544</v>
      </c>
      <c r="E186" s="66" t="s">
        <v>1570</v>
      </c>
    </row>
    <row r="187">
      <c r="A187" s="66">
        <v>187.0</v>
      </c>
      <c r="B187" s="66" t="s">
        <v>506</v>
      </c>
      <c r="C187" s="66" t="s">
        <v>1543</v>
      </c>
      <c r="D187" s="66" t="s">
        <v>1544</v>
      </c>
      <c r="E187" s="66" t="s">
        <v>1569</v>
      </c>
    </row>
    <row r="188">
      <c r="A188" s="66">
        <v>188.0</v>
      </c>
      <c r="B188" s="66" t="s">
        <v>508</v>
      </c>
      <c r="C188" s="66" t="s">
        <v>1543</v>
      </c>
      <c r="D188" s="66" t="s">
        <v>1544</v>
      </c>
      <c r="E188" s="66" t="s">
        <v>1570</v>
      </c>
    </row>
    <row r="189">
      <c r="A189" s="66">
        <v>189.0</v>
      </c>
      <c r="B189" s="66" t="s">
        <v>510</v>
      </c>
      <c r="C189" s="66" t="s">
        <v>1492</v>
      </c>
      <c r="D189" s="66" t="s">
        <v>1493</v>
      </c>
      <c r="E189" s="66" t="s">
        <v>1541</v>
      </c>
    </row>
    <row r="190">
      <c r="A190" s="66">
        <v>190.0</v>
      </c>
      <c r="B190" s="66" t="s">
        <v>512</v>
      </c>
      <c r="C190" s="66" t="s">
        <v>1492</v>
      </c>
      <c r="D190" s="66" t="s">
        <v>1493</v>
      </c>
      <c r="E190" s="66" t="s">
        <v>1528</v>
      </c>
    </row>
    <row r="191">
      <c r="A191" s="66">
        <v>191.0</v>
      </c>
      <c r="B191" s="66" t="s">
        <v>515</v>
      </c>
      <c r="C191" s="66" t="s">
        <v>1492</v>
      </c>
      <c r="D191" s="66" t="s">
        <v>1493</v>
      </c>
      <c r="E191" s="66" t="s">
        <v>1540</v>
      </c>
    </row>
    <row r="192">
      <c r="A192" s="66">
        <v>192.0</v>
      </c>
      <c r="B192" s="66" t="s">
        <v>517</v>
      </c>
      <c r="C192" s="66" t="s">
        <v>1492</v>
      </c>
      <c r="D192" s="66" t="s">
        <v>1493</v>
      </c>
      <c r="E192" s="66" t="s">
        <v>1535</v>
      </c>
    </row>
    <row r="193">
      <c r="A193" s="66">
        <v>193.0</v>
      </c>
      <c r="B193" s="66" t="s">
        <v>520</v>
      </c>
      <c r="C193" s="66" t="s">
        <v>1492</v>
      </c>
      <c r="D193" s="66" t="s">
        <v>1493</v>
      </c>
      <c r="E193" s="66" t="s">
        <v>1542</v>
      </c>
    </row>
    <row r="194">
      <c r="A194" s="66">
        <v>194.0</v>
      </c>
      <c r="B194" s="66" t="s">
        <v>210</v>
      </c>
      <c r="C194" s="66" t="s">
        <v>1543</v>
      </c>
      <c r="D194" s="66" t="s">
        <v>1544</v>
      </c>
      <c r="E194" s="66" t="s">
        <v>1571</v>
      </c>
    </row>
    <row r="195">
      <c r="A195" s="66">
        <v>195.0</v>
      </c>
      <c r="B195" s="66" t="s">
        <v>522</v>
      </c>
      <c r="C195" s="66" t="s">
        <v>1543</v>
      </c>
      <c r="D195" s="66" t="s">
        <v>1544</v>
      </c>
      <c r="E195" s="66" t="s">
        <v>1573</v>
      </c>
    </row>
    <row r="196">
      <c r="A196" s="66">
        <v>196.0</v>
      </c>
      <c r="B196" s="66" t="s">
        <v>524</v>
      </c>
      <c r="C196" s="66" t="s">
        <v>1438</v>
      </c>
      <c r="D196" s="66" t="s">
        <v>1439</v>
      </c>
      <c r="E196" s="66" t="s">
        <v>1574</v>
      </c>
    </row>
    <row r="197">
      <c r="A197" s="66">
        <v>197.0</v>
      </c>
      <c r="B197" s="66" t="s">
        <v>526</v>
      </c>
      <c r="C197" s="66" t="s">
        <v>1467</v>
      </c>
      <c r="D197" s="66" t="s">
        <v>1468</v>
      </c>
      <c r="E197" s="66" t="s">
        <v>1575</v>
      </c>
    </row>
    <row r="198">
      <c r="A198" s="66">
        <v>198.0</v>
      </c>
      <c r="B198" s="66" t="s">
        <v>528</v>
      </c>
      <c r="C198" s="66" t="s">
        <v>1332</v>
      </c>
      <c r="D198" s="66" t="s">
        <v>1333</v>
      </c>
      <c r="E198" s="66" t="s">
        <v>1341</v>
      </c>
    </row>
    <row r="199">
      <c r="A199" s="66">
        <v>199.0</v>
      </c>
      <c r="B199" s="66" t="s">
        <v>530</v>
      </c>
      <c r="C199" s="66" t="s">
        <v>1332</v>
      </c>
      <c r="D199" s="66" t="s">
        <v>1333</v>
      </c>
      <c r="E199" s="66" t="s">
        <v>1342</v>
      </c>
    </row>
    <row r="200">
      <c r="A200" s="66">
        <v>200.0</v>
      </c>
      <c r="B200" s="66" t="s">
        <v>532</v>
      </c>
      <c r="C200" s="66" t="s">
        <v>1332</v>
      </c>
      <c r="D200" s="66" t="s">
        <v>1333</v>
      </c>
      <c r="E200" s="66" t="s">
        <v>1334</v>
      </c>
    </row>
    <row r="201">
      <c r="A201" s="66">
        <v>201.0</v>
      </c>
      <c r="B201" s="66" t="s">
        <v>535</v>
      </c>
      <c r="C201" s="66" t="s">
        <v>1332</v>
      </c>
      <c r="D201" s="66" t="s">
        <v>1333</v>
      </c>
      <c r="E201" s="66" t="s">
        <v>1336</v>
      </c>
    </row>
    <row r="202">
      <c r="A202" s="66">
        <v>202.0</v>
      </c>
      <c r="B202" s="66" t="s">
        <v>537</v>
      </c>
      <c r="C202" s="66" t="s">
        <v>1332</v>
      </c>
      <c r="D202" s="66" t="s">
        <v>1333</v>
      </c>
      <c r="E202" s="66" t="s">
        <v>1335</v>
      </c>
    </row>
    <row r="203">
      <c r="A203" s="66">
        <v>203.0</v>
      </c>
      <c r="B203" s="66" t="s">
        <v>540</v>
      </c>
      <c r="C203" s="66" t="s">
        <v>1332</v>
      </c>
      <c r="D203" s="66" t="s">
        <v>1333</v>
      </c>
      <c r="E203" s="66" t="s">
        <v>1338</v>
      </c>
    </row>
    <row r="204">
      <c r="A204" s="66">
        <v>204.0</v>
      </c>
      <c r="B204" s="66" t="s">
        <v>542</v>
      </c>
      <c r="C204" s="66" t="s">
        <v>1343</v>
      </c>
      <c r="D204" s="66" t="s">
        <v>1344</v>
      </c>
      <c r="E204" s="66" t="s">
        <v>1376</v>
      </c>
    </row>
    <row r="205">
      <c r="A205" s="66">
        <v>205.0</v>
      </c>
      <c r="B205" s="66" t="s">
        <v>545</v>
      </c>
      <c r="C205" s="66" t="s">
        <v>1343</v>
      </c>
      <c r="D205" s="66" t="s">
        <v>1344</v>
      </c>
      <c r="E205" s="66" t="s">
        <v>1346</v>
      </c>
    </row>
    <row r="206">
      <c r="A206" s="66">
        <v>206.0</v>
      </c>
      <c r="B206" s="66" t="s">
        <v>137</v>
      </c>
      <c r="C206" s="66" t="s">
        <v>1343</v>
      </c>
      <c r="D206" s="66" t="s">
        <v>1344</v>
      </c>
      <c r="E206" s="66" t="s">
        <v>1360</v>
      </c>
    </row>
    <row r="207">
      <c r="A207" s="66">
        <v>207.0</v>
      </c>
      <c r="B207" s="66" t="s">
        <v>548</v>
      </c>
      <c r="C207" s="66" t="s">
        <v>1343</v>
      </c>
      <c r="D207" s="66" t="s">
        <v>1344</v>
      </c>
      <c r="E207" s="66" t="s">
        <v>1370</v>
      </c>
    </row>
    <row r="208">
      <c r="A208" s="66">
        <v>208.0</v>
      </c>
      <c r="B208" s="66" t="s">
        <v>550</v>
      </c>
      <c r="C208" s="66" t="s">
        <v>1343</v>
      </c>
      <c r="D208" s="66" t="s">
        <v>1344</v>
      </c>
      <c r="E208" s="66" t="s">
        <v>1353</v>
      </c>
    </row>
    <row r="209">
      <c r="A209" s="66">
        <v>209.0</v>
      </c>
      <c r="B209" s="66" t="s">
        <v>552</v>
      </c>
      <c r="C209" s="66" t="s">
        <v>1343</v>
      </c>
      <c r="D209" s="66" t="s">
        <v>1344</v>
      </c>
      <c r="E209" s="66" t="s">
        <v>1371</v>
      </c>
    </row>
    <row r="210">
      <c r="A210" s="66">
        <v>210.0</v>
      </c>
      <c r="B210" s="66" t="s">
        <v>554</v>
      </c>
      <c r="C210" s="66" t="s">
        <v>1414</v>
      </c>
      <c r="D210" s="66" t="s">
        <v>1415</v>
      </c>
      <c r="E210" s="66" t="s">
        <v>1482</v>
      </c>
    </row>
    <row r="211">
      <c r="A211" s="66">
        <v>211.0</v>
      </c>
      <c r="B211" s="66" t="s">
        <v>557</v>
      </c>
      <c r="C211" s="66" t="s">
        <v>1380</v>
      </c>
      <c r="D211" s="66" t="s">
        <v>1381</v>
      </c>
      <c r="E211" s="66" t="s">
        <v>1396</v>
      </c>
    </row>
    <row r="212">
      <c r="A212" s="66">
        <v>212.0</v>
      </c>
      <c r="B212" s="66" t="s">
        <v>560</v>
      </c>
      <c r="C212" s="66" t="s">
        <v>1380</v>
      </c>
      <c r="D212" s="66" t="s">
        <v>1381</v>
      </c>
      <c r="E212" s="66" t="s">
        <v>1408</v>
      </c>
    </row>
    <row r="213">
      <c r="A213" s="66">
        <v>213.0</v>
      </c>
      <c r="B213" s="66" t="s">
        <v>563</v>
      </c>
      <c r="C213" s="66" t="s">
        <v>1380</v>
      </c>
      <c r="D213" s="66" t="s">
        <v>1381</v>
      </c>
      <c r="E213" s="66" t="s">
        <v>1411</v>
      </c>
    </row>
    <row r="214">
      <c r="A214" s="66">
        <v>214.0</v>
      </c>
      <c r="B214" s="66" t="s">
        <v>565</v>
      </c>
      <c r="C214" s="66" t="s">
        <v>1380</v>
      </c>
      <c r="D214" s="66" t="s">
        <v>1381</v>
      </c>
      <c r="E214" s="66" t="s">
        <v>1394</v>
      </c>
    </row>
    <row r="215">
      <c r="A215" s="66">
        <v>215.0</v>
      </c>
      <c r="B215" s="66" t="s">
        <v>567</v>
      </c>
      <c r="C215" s="66" t="s">
        <v>1380</v>
      </c>
      <c r="D215" s="66" t="s">
        <v>1381</v>
      </c>
      <c r="E215" s="66" t="s">
        <v>1399</v>
      </c>
    </row>
    <row r="216">
      <c r="A216" s="66">
        <v>216.0</v>
      </c>
      <c r="B216" s="66" t="s">
        <v>569</v>
      </c>
      <c r="C216" s="66" t="s">
        <v>1380</v>
      </c>
      <c r="D216" s="66" t="s">
        <v>1381</v>
      </c>
      <c r="E216" s="66" t="s">
        <v>1382</v>
      </c>
    </row>
    <row r="217">
      <c r="A217" s="66">
        <v>217.0</v>
      </c>
      <c r="B217" s="66" t="s">
        <v>571</v>
      </c>
      <c r="C217" s="66" t="s">
        <v>1259</v>
      </c>
      <c r="D217" s="66" t="s">
        <v>1260</v>
      </c>
      <c r="E217" s="66" t="s">
        <v>1317</v>
      </c>
    </row>
    <row r="218">
      <c r="A218" s="66">
        <v>218.0</v>
      </c>
      <c r="B218" s="66" t="s">
        <v>573</v>
      </c>
      <c r="C218" s="66" t="s">
        <v>1259</v>
      </c>
      <c r="D218" s="66" t="s">
        <v>1260</v>
      </c>
      <c r="E218" s="66" t="s">
        <v>1314</v>
      </c>
    </row>
    <row r="219">
      <c r="A219" s="66">
        <v>219.0</v>
      </c>
      <c r="B219" s="66" t="s">
        <v>575</v>
      </c>
      <c r="C219" s="66" t="s">
        <v>1259</v>
      </c>
      <c r="D219" s="66" t="s">
        <v>1260</v>
      </c>
      <c r="E219" s="66" t="s">
        <v>1284</v>
      </c>
    </row>
    <row r="220">
      <c r="A220" s="66">
        <v>220.0</v>
      </c>
      <c r="B220" s="66" t="s">
        <v>135</v>
      </c>
      <c r="C220" s="66" t="s">
        <v>1259</v>
      </c>
      <c r="D220" s="66" t="s">
        <v>1260</v>
      </c>
      <c r="E220" s="66" t="s">
        <v>1295</v>
      </c>
    </row>
    <row r="221">
      <c r="A221" s="66">
        <v>221.0</v>
      </c>
      <c r="B221" s="66" t="s">
        <v>578</v>
      </c>
      <c r="C221" s="66" t="s">
        <v>1259</v>
      </c>
      <c r="D221" s="66" t="s">
        <v>1260</v>
      </c>
      <c r="E221" s="66" t="s">
        <v>1296</v>
      </c>
    </row>
    <row r="222">
      <c r="A222" s="66">
        <v>222.0</v>
      </c>
      <c r="B222" s="66" t="s">
        <v>581</v>
      </c>
      <c r="C222" s="66" t="s">
        <v>1259</v>
      </c>
      <c r="D222" s="66" t="s">
        <v>1260</v>
      </c>
      <c r="E222" s="66" t="s">
        <v>1268</v>
      </c>
    </row>
    <row r="223">
      <c r="A223" s="66">
        <v>223.0</v>
      </c>
      <c r="B223" s="66" t="s">
        <v>126</v>
      </c>
      <c r="C223" s="66" t="s">
        <v>1259</v>
      </c>
      <c r="D223" s="66" t="s">
        <v>1260</v>
      </c>
      <c r="E223" s="66" t="s">
        <v>1297</v>
      </c>
    </row>
    <row r="224">
      <c r="A224" s="66">
        <v>224.0</v>
      </c>
      <c r="B224" s="66" t="s">
        <v>131</v>
      </c>
      <c r="C224" s="66" t="s">
        <v>1259</v>
      </c>
      <c r="D224" s="66" t="s">
        <v>1260</v>
      </c>
      <c r="E224" s="66" t="s">
        <v>1308</v>
      </c>
    </row>
    <row r="225">
      <c r="A225" s="66">
        <v>225.0</v>
      </c>
      <c r="B225" s="66" t="s">
        <v>586</v>
      </c>
      <c r="C225" s="66" t="s">
        <v>1259</v>
      </c>
      <c r="D225" s="66" t="s">
        <v>1260</v>
      </c>
      <c r="E225" s="66" t="s">
        <v>1279</v>
      </c>
    </row>
    <row r="226">
      <c r="A226" s="66">
        <v>226.0</v>
      </c>
      <c r="B226" s="66" t="s">
        <v>120</v>
      </c>
      <c r="C226" s="66" t="s">
        <v>1259</v>
      </c>
      <c r="D226" s="66" t="s">
        <v>1260</v>
      </c>
      <c r="E226" s="66" t="s">
        <v>1278</v>
      </c>
    </row>
    <row r="227">
      <c r="A227" s="66">
        <v>227.0</v>
      </c>
      <c r="B227" s="66" t="s">
        <v>589</v>
      </c>
      <c r="C227" s="66" t="s">
        <v>1259</v>
      </c>
      <c r="D227" s="66" t="s">
        <v>1260</v>
      </c>
      <c r="E227" s="66" t="s">
        <v>1263</v>
      </c>
    </row>
    <row r="228">
      <c r="A228" s="66">
        <v>228.0</v>
      </c>
      <c r="B228" s="66" t="s">
        <v>591</v>
      </c>
      <c r="C228" s="66" t="s">
        <v>1259</v>
      </c>
      <c r="D228" s="66" t="s">
        <v>1260</v>
      </c>
      <c r="E228" s="66" t="s">
        <v>1292</v>
      </c>
    </row>
    <row r="229">
      <c r="A229" s="66">
        <v>229.0</v>
      </c>
      <c r="B229" s="66" t="s">
        <v>593</v>
      </c>
      <c r="C229" s="66" t="s">
        <v>1259</v>
      </c>
      <c r="D229" s="66" t="s">
        <v>1260</v>
      </c>
      <c r="E229" s="66" t="s">
        <v>1319</v>
      </c>
    </row>
    <row r="230">
      <c r="A230" s="66">
        <v>230.0</v>
      </c>
      <c r="B230" s="66" t="s">
        <v>595</v>
      </c>
      <c r="C230" s="66" t="s">
        <v>1259</v>
      </c>
      <c r="D230" s="66" t="s">
        <v>1260</v>
      </c>
      <c r="E230" s="66" t="s">
        <v>1328</v>
      </c>
    </row>
    <row r="231">
      <c r="A231" s="66">
        <v>231.0</v>
      </c>
      <c r="B231" s="66" t="s">
        <v>597</v>
      </c>
      <c r="C231" s="66" t="s">
        <v>1259</v>
      </c>
      <c r="D231" s="66" t="s">
        <v>1260</v>
      </c>
      <c r="E231" s="66" t="s">
        <v>1327</v>
      </c>
    </row>
    <row r="232">
      <c r="A232" s="66">
        <v>232.0</v>
      </c>
      <c r="B232" s="66" t="s">
        <v>599</v>
      </c>
      <c r="C232" s="66" t="s">
        <v>1259</v>
      </c>
      <c r="D232" s="66" t="s">
        <v>1260</v>
      </c>
      <c r="E232" s="66" t="s">
        <v>1331</v>
      </c>
    </row>
    <row r="233">
      <c r="A233" s="66">
        <v>233.0</v>
      </c>
      <c r="B233" s="66" t="s">
        <v>114</v>
      </c>
      <c r="C233" s="66" t="s">
        <v>1259</v>
      </c>
      <c r="D233" s="66" t="s">
        <v>1260</v>
      </c>
      <c r="E233" s="66" t="s">
        <v>1262</v>
      </c>
    </row>
    <row r="234">
      <c r="A234" s="66">
        <v>234.0</v>
      </c>
      <c r="B234" s="66" t="s">
        <v>602</v>
      </c>
      <c r="C234" s="66" t="s">
        <v>1259</v>
      </c>
      <c r="D234" s="66" t="s">
        <v>1260</v>
      </c>
      <c r="E234" s="66" t="s">
        <v>1288</v>
      </c>
    </row>
    <row r="235">
      <c r="A235" s="66">
        <v>235.0</v>
      </c>
      <c r="B235" s="66" t="s">
        <v>604</v>
      </c>
      <c r="C235" s="66" t="s">
        <v>1259</v>
      </c>
      <c r="D235" s="66" t="s">
        <v>1260</v>
      </c>
      <c r="E235" s="66" t="s">
        <v>1273</v>
      </c>
    </row>
    <row r="236">
      <c r="A236" s="66">
        <v>236.0</v>
      </c>
      <c r="B236" s="66" t="s">
        <v>606</v>
      </c>
      <c r="C236" s="66" t="s">
        <v>1259</v>
      </c>
      <c r="D236" s="66" t="s">
        <v>1260</v>
      </c>
      <c r="E236" s="66" t="s">
        <v>1301</v>
      </c>
    </row>
    <row r="237">
      <c r="A237" s="66">
        <v>237.0</v>
      </c>
      <c r="B237" s="66" t="s">
        <v>608</v>
      </c>
      <c r="C237" s="66" t="s">
        <v>1259</v>
      </c>
      <c r="D237" s="66" t="s">
        <v>1260</v>
      </c>
      <c r="E237" s="66" t="s">
        <v>1270</v>
      </c>
    </row>
    <row r="238">
      <c r="A238" s="66">
        <v>238.0</v>
      </c>
      <c r="B238" s="66" t="s">
        <v>610</v>
      </c>
      <c r="C238" s="66" t="s">
        <v>1259</v>
      </c>
      <c r="D238" s="66" t="s">
        <v>1260</v>
      </c>
      <c r="E238" s="66" t="s">
        <v>1283</v>
      </c>
    </row>
    <row r="239">
      <c r="A239" s="66">
        <v>239.0</v>
      </c>
      <c r="B239" s="66" t="s">
        <v>612</v>
      </c>
      <c r="C239" s="66" t="s">
        <v>1259</v>
      </c>
      <c r="D239" s="66" t="s">
        <v>1260</v>
      </c>
      <c r="E239" s="66" t="s">
        <v>1261</v>
      </c>
    </row>
    <row r="240">
      <c r="A240" s="66">
        <v>240.0</v>
      </c>
      <c r="B240" s="66" t="s">
        <v>108</v>
      </c>
      <c r="C240" s="66" t="s">
        <v>1259</v>
      </c>
      <c r="D240" s="66" t="s">
        <v>1260</v>
      </c>
      <c r="E240" s="66" t="s">
        <v>1277</v>
      </c>
    </row>
    <row r="241">
      <c r="A241" s="66">
        <v>241.0</v>
      </c>
      <c r="B241" s="66" t="s">
        <v>111</v>
      </c>
      <c r="C241" s="66" t="s">
        <v>1259</v>
      </c>
      <c r="D241" s="66" t="s">
        <v>1260</v>
      </c>
      <c r="E241" s="66" t="s">
        <v>1266</v>
      </c>
    </row>
    <row r="242">
      <c r="A242" s="66">
        <v>242.0</v>
      </c>
      <c r="B242" s="66" t="s">
        <v>616</v>
      </c>
      <c r="C242" s="66" t="s">
        <v>1259</v>
      </c>
      <c r="D242" s="66" t="s">
        <v>1260</v>
      </c>
      <c r="E242" s="66" t="s">
        <v>1310</v>
      </c>
    </row>
    <row r="243">
      <c r="A243" s="66">
        <v>243.0</v>
      </c>
      <c r="B243" s="66" t="s">
        <v>102</v>
      </c>
      <c r="C243" s="66" t="s">
        <v>1259</v>
      </c>
      <c r="D243" s="66" t="s">
        <v>1260</v>
      </c>
      <c r="E243" s="66" t="s">
        <v>1323</v>
      </c>
    </row>
    <row r="244">
      <c r="A244" s="66">
        <v>244.0</v>
      </c>
      <c r="B244" s="66" t="s">
        <v>619</v>
      </c>
      <c r="C244" s="66" t="s">
        <v>1259</v>
      </c>
      <c r="D244" s="66" t="s">
        <v>1260</v>
      </c>
      <c r="E244" s="66" t="s">
        <v>1300</v>
      </c>
    </row>
    <row r="245">
      <c r="A245" s="66">
        <v>245.0</v>
      </c>
      <c r="B245" s="66" t="s">
        <v>622</v>
      </c>
      <c r="C245" s="66" t="s">
        <v>1259</v>
      </c>
      <c r="D245" s="66" t="s">
        <v>1260</v>
      </c>
      <c r="E245" s="66" t="s">
        <v>1281</v>
      </c>
    </row>
    <row r="246">
      <c r="A246" s="66">
        <v>246.0</v>
      </c>
      <c r="B246" s="66" t="s">
        <v>98</v>
      </c>
      <c r="C246" s="66" t="s">
        <v>1259</v>
      </c>
      <c r="D246" s="66" t="s">
        <v>1260</v>
      </c>
      <c r="E246" s="66" t="s">
        <v>1280</v>
      </c>
    </row>
    <row r="247">
      <c r="A247" s="66">
        <v>247.0</v>
      </c>
      <c r="B247" s="66" t="s">
        <v>95</v>
      </c>
      <c r="C247" s="66" t="s">
        <v>1259</v>
      </c>
      <c r="D247" s="66" t="s">
        <v>1260</v>
      </c>
      <c r="E247" s="66" t="s">
        <v>1285</v>
      </c>
    </row>
    <row r="248">
      <c r="A248" s="66">
        <v>248.0</v>
      </c>
      <c r="B248" s="66" t="s">
        <v>626</v>
      </c>
      <c r="C248" s="66" t="s">
        <v>1259</v>
      </c>
      <c r="D248" s="66" t="s">
        <v>1260</v>
      </c>
      <c r="E248" s="66" t="s">
        <v>1294</v>
      </c>
    </row>
    <row r="249">
      <c r="A249" s="66">
        <v>249.0</v>
      </c>
      <c r="B249" s="66" t="s">
        <v>628</v>
      </c>
      <c r="C249" s="66" t="s">
        <v>1259</v>
      </c>
      <c r="D249" s="66" t="s">
        <v>1260</v>
      </c>
      <c r="E249" s="66" t="s">
        <v>1276</v>
      </c>
    </row>
    <row r="250">
      <c r="A250" s="66">
        <v>250.0</v>
      </c>
      <c r="B250" s="66" t="s">
        <v>630</v>
      </c>
      <c r="C250" s="66" t="s">
        <v>1259</v>
      </c>
      <c r="D250" s="66" t="s">
        <v>1260</v>
      </c>
      <c r="E250" s="66" t="s">
        <v>1324</v>
      </c>
    </row>
    <row r="251">
      <c r="A251" s="66">
        <v>251.0</v>
      </c>
      <c r="B251" s="66" t="s">
        <v>632</v>
      </c>
      <c r="C251" s="66" t="s">
        <v>1259</v>
      </c>
      <c r="D251" s="66" t="s">
        <v>1260</v>
      </c>
      <c r="E251" s="66" t="s">
        <v>1289</v>
      </c>
    </row>
    <row r="252">
      <c r="A252" s="66">
        <v>252.0</v>
      </c>
      <c r="B252" s="66" t="s">
        <v>634</v>
      </c>
      <c r="C252" s="66" t="s">
        <v>1259</v>
      </c>
      <c r="D252" s="66" t="s">
        <v>1260</v>
      </c>
      <c r="E252" s="66" t="s">
        <v>1303</v>
      </c>
    </row>
    <row r="253">
      <c r="A253" s="66">
        <v>253.0</v>
      </c>
      <c r="B253" s="66" t="s">
        <v>92</v>
      </c>
      <c r="C253" s="66" t="s">
        <v>1259</v>
      </c>
      <c r="D253" s="66" t="s">
        <v>1260</v>
      </c>
      <c r="E253" s="66" t="s">
        <v>1312</v>
      </c>
    </row>
    <row r="254">
      <c r="A254" s="66">
        <v>254.0</v>
      </c>
      <c r="B254" s="66" t="s">
        <v>637</v>
      </c>
      <c r="C254" s="66" t="s">
        <v>1259</v>
      </c>
      <c r="D254" s="66" t="s">
        <v>1260</v>
      </c>
      <c r="E254" s="66" t="s">
        <v>1274</v>
      </c>
    </row>
    <row r="255">
      <c r="A255" s="66">
        <v>255.0</v>
      </c>
      <c r="B255" s="66" t="s">
        <v>639</v>
      </c>
      <c r="C255" s="66" t="s">
        <v>1259</v>
      </c>
      <c r="D255" s="66" t="s">
        <v>1260</v>
      </c>
      <c r="E255" s="66" t="s">
        <v>1272</v>
      </c>
    </row>
    <row r="256">
      <c r="A256" s="66">
        <v>256.0</v>
      </c>
      <c r="B256" s="66" t="s">
        <v>641</v>
      </c>
      <c r="C256" s="66" t="s">
        <v>1259</v>
      </c>
      <c r="D256" s="66" t="s">
        <v>1260</v>
      </c>
      <c r="E256" s="66" t="s">
        <v>1265</v>
      </c>
    </row>
    <row r="257">
      <c r="A257" s="66">
        <v>257.0</v>
      </c>
      <c r="B257" s="66" t="s">
        <v>643</v>
      </c>
      <c r="C257" s="66" t="s">
        <v>1259</v>
      </c>
      <c r="D257" s="66" t="s">
        <v>1260</v>
      </c>
      <c r="E257" s="66" t="s">
        <v>1293</v>
      </c>
    </row>
    <row r="258">
      <c r="A258" s="66">
        <v>258.0</v>
      </c>
      <c r="B258" s="66" t="s">
        <v>646</v>
      </c>
      <c r="C258" s="66" t="s">
        <v>1259</v>
      </c>
      <c r="D258" s="66" t="s">
        <v>1260</v>
      </c>
      <c r="E258" s="66" t="s">
        <v>1315</v>
      </c>
    </row>
    <row r="259">
      <c r="A259" s="66">
        <v>259.0</v>
      </c>
      <c r="B259" s="66" t="s">
        <v>83</v>
      </c>
      <c r="C259" s="66" t="s">
        <v>1259</v>
      </c>
      <c r="D259" s="66" t="s">
        <v>1260</v>
      </c>
      <c r="E259" s="66" t="s">
        <v>1290</v>
      </c>
    </row>
    <row r="260">
      <c r="A260" s="66">
        <v>260.0</v>
      </c>
      <c r="B260" s="66" t="s">
        <v>86</v>
      </c>
      <c r="C260" s="66" t="s">
        <v>1259</v>
      </c>
      <c r="D260" s="66" t="s">
        <v>1260</v>
      </c>
      <c r="E260" s="66" t="s">
        <v>1291</v>
      </c>
    </row>
    <row r="261">
      <c r="A261" s="66">
        <v>261.0</v>
      </c>
      <c r="B261" s="66" t="s">
        <v>1321</v>
      </c>
      <c r="C261" s="66" t="s">
        <v>1259</v>
      </c>
      <c r="D261" s="66" t="s">
        <v>1260</v>
      </c>
      <c r="E261" s="66" t="s">
        <v>1322</v>
      </c>
    </row>
    <row r="262">
      <c r="A262" s="66">
        <v>262.0</v>
      </c>
      <c r="B262" s="66" t="s">
        <v>651</v>
      </c>
      <c r="C262" s="66" t="s">
        <v>1259</v>
      </c>
      <c r="D262" s="66" t="s">
        <v>1260</v>
      </c>
      <c r="E262" s="66" t="s">
        <v>1282</v>
      </c>
    </row>
    <row r="263">
      <c r="A263" s="66">
        <v>263.0</v>
      </c>
      <c r="B263" s="66" t="s">
        <v>653</v>
      </c>
      <c r="C263" s="66" t="s">
        <v>1259</v>
      </c>
      <c r="D263" s="66" t="s">
        <v>1260</v>
      </c>
      <c r="E263" s="66" t="s">
        <v>1267</v>
      </c>
    </row>
    <row r="264">
      <c r="A264" s="66">
        <v>264.0</v>
      </c>
      <c r="B264" s="66" t="s">
        <v>655</v>
      </c>
      <c r="C264" s="66" t="s">
        <v>1259</v>
      </c>
      <c r="D264" s="66" t="s">
        <v>1260</v>
      </c>
      <c r="E264" s="66" t="s">
        <v>1320</v>
      </c>
    </row>
    <row r="265">
      <c r="A265" s="66">
        <v>265.0</v>
      </c>
      <c r="B265" s="66" t="s">
        <v>657</v>
      </c>
      <c r="C265" s="66" t="s">
        <v>1259</v>
      </c>
      <c r="D265" s="66" t="s">
        <v>1260</v>
      </c>
      <c r="E265" s="66" t="s">
        <v>1330</v>
      </c>
    </row>
    <row r="266">
      <c r="A266" s="66">
        <v>266.0</v>
      </c>
      <c r="B266" s="66" t="s">
        <v>659</v>
      </c>
      <c r="C266" s="66" t="s">
        <v>1259</v>
      </c>
      <c r="D266" s="66" t="s">
        <v>1260</v>
      </c>
      <c r="E266" s="66" t="s">
        <v>1269</v>
      </c>
    </row>
    <row r="267">
      <c r="A267" s="66">
        <v>267.0</v>
      </c>
      <c r="B267" s="66" t="s">
        <v>79</v>
      </c>
      <c r="C267" s="66" t="s">
        <v>1259</v>
      </c>
      <c r="D267" s="66" t="s">
        <v>1260</v>
      </c>
      <c r="E267" s="66" t="s">
        <v>1299</v>
      </c>
    </row>
    <row r="268">
      <c r="A268" s="66">
        <v>268.0</v>
      </c>
      <c r="B268" s="66" t="s">
        <v>662</v>
      </c>
      <c r="C268" s="66" t="s">
        <v>1259</v>
      </c>
      <c r="D268" s="66" t="s">
        <v>1260</v>
      </c>
      <c r="E268" s="66" t="s">
        <v>1298</v>
      </c>
    </row>
    <row r="269">
      <c r="A269" s="66">
        <v>269.0</v>
      </c>
      <c r="B269" s="66" t="s">
        <v>665</v>
      </c>
      <c r="C269" s="66" t="s">
        <v>1259</v>
      </c>
      <c r="D269" s="66" t="s">
        <v>1260</v>
      </c>
      <c r="E269" s="66" t="s">
        <v>1264</v>
      </c>
    </row>
    <row r="270">
      <c r="A270" s="66">
        <v>270.0</v>
      </c>
      <c r="B270" s="66" t="s">
        <v>669</v>
      </c>
      <c r="C270" s="66" t="s">
        <v>1259</v>
      </c>
      <c r="D270" s="66" t="s">
        <v>1260</v>
      </c>
      <c r="E270" s="66" t="s">
        <v>1286</v>
      </c>
    </row>
    <row r="271">
      <c r="A271" s="66">
        <v>271.0</v>
      </c>
      <c r="B271" s="66" t="s">
        <v>671</v>
      </c>
      <c r="C271" s="66" t="s">
        <v>1259</v>
      </c>
      <c r="D271" s="66" t="s">
        <v>1260</v>
      </c>
      <c r="E271" s="66" t="s">
        <v>1287</v>
      </c>
    </row>
    <row r="272">
      <c r="A272" s="66">
        <v>272.0</v>
      </c>
      <c r="B272" s="66" t="s">
        <v>75</v>
      </c>
      <c r="C272" s="66" t="s">
        <v>1259</v>
      </c>
      <c r="D272" s="66" t="s">
        <v>1260</v>
      </c>
      <c r="E272" s="66"/>
    </row>
    <row r="273">
      <c r="A273" s="66">
        <v>273.0</v>
      </c>
      <c r="B273" s="66" t="s">
        <v>73</v>
      </c>
      <c r="C273" s="66" t="s">
        <v>1259</v>
      </c>
      <c r="D273" s="66" t="s">
        <v>1260</v>
      </c>
      <c r="E273" s="66" t="s">
        <v>1316</v>
      </c>
    </row>
    <row r="274">
      <c r="A274" s="66">
        <v>274.0</v>
      </c>
      <c r="B274" s="66" t="s">
        <v>675</v>
      </c>
      <c r="C274" s="66" t="s">
        <v>1259</v>
      </c>
      <c r="D274" s="66" t="s">
        <v>1260</v>
      </c>
      <c r="E274" s="66" t="s">
        <v>1305</v>
      </c>
    </row>
    <row r="275">
      <c r="A275" s="66">
        <v>275.0</v>
      </c>
      <c r="B275" s="66" t="s">
        <v>67</v>
      </c>
      <c r="C275" s="66" t="s">
        <v>1259</v>
      </c>
      <c r="D275" s="66" t="s">
        <v>1260</v>
      </c>
      <c r="E275" s="66" t="s">
        <v>1306</v>
      </c>
    </row>
    <row r="276">
      <c r="A276" s="66">
        <v>276.0</v>
      </c>
      <c r="B276" s="66" t="s">
        <v>63</v>
      </c>
      <c r="C276" s="66" t="s">
        <v>1259</v>
      </c>
      <c r="D276" s="66" t="s">
        <v>1260</v>
      </c>
      <c r="E276" s="66" t="s">
        <v>1304</v>
      </c>
    </row>
    <row r="277">
      <c r="A277" s="66">
        <v>277.0</v>
      </c>
      <c r="B277" s="66" t="s">
        <v>60</v>
      </c>
      <c r="C277" s="66" t="s">
        <v>1259</v>
      </c>
      <c r="D277" s="66" t="s">
        <v>1260</v>
      </c>
      <c r="E277" s="66" t="s">
        <v>1275</v>
      </c>
    </row>
    <row r="278">
      <c r="A278" s="66">
        <v>278.0</v>
      </c>
      <c r="B278" s="66" t="s">
        <v>680</v>
      </c>
      <c r="C278" s="66" t="s">
        <v>1444</v>
      </c>
      <c r="D278" s="66" t="s">
        <v>1445</v>
      </c>
      <c r="E278" s="66" t="s">
        <v>1600</v>
      </c>
    </row>
    <row r="279">
      <c r="A279" s="66">
        <v>279.0</v>
      </c>
      <c r="B279" s="66" t="s">
        <v>186</v>
      </c>
      <c r="C279" s="66" t="s">
        <v>1380</v>
      </c>
      <c r="D279" s="66" t="s">
        <v>1381</v>
      </c>
      <c r="E279" s="66" t="s">
        <v>1404</v>
      </c>
    </row>
    <row r="280">
      <c r="A280" s="66">
        <v>280.0</v>
      </c>
      <c r="B280" s="66" t="s">
        <v>153</v>
      </c>
      <c r="C280" s="66" t="s">
        <v>1380</v>
      </c>
      <c r="D280" s="66" t="s">
        <v>1381</v>
      </c>
      <c r="E280" s="66" t="s">
        <v>1398</v>
      </c>
    </row>
    <row r="281">
      <c r="A281" s="66">
        <v>281.0</v>
      </c>
      <c r="B281" s="66" t="s">
        <v>682</v>
      </c>
      <c r="C281" s="66" t="s">
        <v>1444</v>
      </c>
      <c r="D281" s="66" t="s">
        <v>1445</v>
      </c>
      <c r="E281" s="66" t="s">
        <v>1604</v>
      </c>
    </row>
    <row r="282">
      <c r="A282" s="66">
        <v>282.0</v>
      </c>
      <c r="B282" s="66" t="s">
        <v>684</v>
      </c>
      <c r="C282" s="66" t="s">
        <v>1444</v>
      </c>
      <c r="D282" s="66" t="s">
        <v>1445</v>
      </c>
      <c r="E282" s="66" t="s">
        <v>1606</v>
      </c>
    </row>
    <row r="283">
      <c r="A283" s="66">
        <v>283.0</v>
      </c>
      <c r="B283" s="66" t="s">
        <v>171</v>
      </c>
      <c r="C283" s="66" t="s">
        <v>1380</v>
      </c>
      <c r="D283" s="66" t="s">
        <v>1381</v>
      </c>
      <c r="E283" s="66"/>
    </row>
    <row r="284">
      <c r="A284" s="66">
        <v>284.0</v>
      </c>
      <c r="B284" s="66" t="s">
        <v>687</v>
      </c>
      <c r="C284" s="66" t="s">
        <v>1380</v>
      </c>
      <c r="D284" s="66" t="s">
        <v>1381</v>
      </c>
      <c r="E284" s="66" t="s">
        <v>1388</v>
      </c>
    </row>
    <row r="285">
      <c r="A285" s="66">
        <v>285.0</v>
      </c>
      <c r="B285" s="66" t="s">
        <v>689</v>
      </c>
      <c r="C285" s="66" t="s">
        <v>1380</v>
      </c>
      <c r="D285" s="66" t="s">
        <v>1381</v>
      </c>
      <c r="E285" s="66" t="s">
        <v>1393</v>
      </c>
    </row>
    <row r="286">
      <c r="A286" s="66">
        <v>286.0</v>
      </c>
      <c r="B286" s="66" t="s">
        <v>691</v>
      </c>
      <c r="C286" s="66" t="s">
        <v>1380</v>
      </c>
      <c r="D286" s="66" t="s">
        <v>1381</v>
      </c>
      <c r="E286" s="66" t="s">
        <v>1389</v>
      </c>
    </row>
    <row r="287">
      <c r="A287" s="66">
        <v>287.0</v>
      </c>
      <c r="B287" s="66" t="s">
        <v>693</v>
      </c>
      <c r="C287" s="66" t="s">
        <v>1380</v>
      </c>
      <c r="D287" s="66" t="s">
        <v>1381</v>
      </c>
      <c r="E287" s="66" t="s">
        <v>1390</v>
      </c>
    </row>
    <row r="288">
      <c r="A288" s="66">
        <v>288.0</v>
      </c>
      <c r="B288" s="66" t="s">
        <v>695</v>
      </c>
      <c r="C288" s="66" t="s">
        <v>1380</v>
      </c>
      <c r="D288" s="66" t="s">
        <v>1381</v>
      </c>
      <c r="E288" s="66" t="s">
        <v>1405</v>
      </c>
    </row>
    <row r="289">
      <c r="A289" s="66">
        <v>289.0</v>
      </c>
      <c r="B289" s="66" t="s">
        <v>697</v>
      </c>
      <c r="C289" s="66" t="s">
        <v>1467</v>
      </c>
      <c r="D289" s="66" t="s">
        <v>1611</v>
      </c>
      <c r="E289" s="66" t="s">
        <v>1612</v>
      </c>
    </row>
    <row r="290">
      <c r="A290" s="66">
        <v>290.0</v>
      </c>
      <c r="B290" s="66" t="s">
        <v>699</v>
      </c>
      <c r="C290" s="66" t="s">
        <v>1444</v>
      </c>
      <c r="D290" s="66" t="s">
        <v>1613</v>
      </c>
      <c r="E290" s="66"/>
    </row>
    <row r="291">
      <c r="A291" s="66">
        <v>291.0</v>
      </c>
      <c r="B291" s="66" t="s">
        <v>701</v>
      </c>
      <c r="C291" s="66" t="s">
        <v>1444</v>
      </c>
      <c r="D291" s="66" t="s">
        <v>1613</v>
      </c>
      <c r="E291" s="66"/>
    </row>
    <row r="292">
      <c r="A292" s="66">
        <v>292.0</v>
      </c>
      <c r="B292" s="66" t="s">
        <v>703</v>
      </c>
      <c r="C292" s="66" t="s">
        <v>1602</v>
      </c>
      <c r="D292" s="66" t="s">
        <v>1614</v>
      </c>
      <c r="E292" s="66"/>
    </row>
    <row r="293">
      <c r="A293" s="66">
        <v>293.0</v>
      </c>
      <c r="B293" s="66" t="s">
        <v>176</v>
      </c>
      <c r="C293" s="66" t="s">
        <v>1380</v>
      </c>
      <c r="D293" s="66" t="s">
        <v>1381</v>
      </c>
      <c r="E293" s="66" t="s">
        <v>1385</v>
      </c>
    </row>
    <row r="294">
      <c r="A294" s="66">
        <v>294.0</v>
      </c>
      <c r="B294" s="66" t="s">
        <v>705</v>
      </c>
      <c r="C294" s="66" t="s">
        <v>1343</v>
      </c>
      <c r="D294" s="66" t="s">
        <v>1344</v>
      </c>
      <c r="E294" s="66" t="s">
        <v>1367</v>
      </c>
    </row>
    <row r="295">
      <c r="A295" s="66">
        <v>295.0</v>
      </c>
      <c r="B295" s="66" t="s">
        <v>164</v>
      </c>
      <c r="C295" s="66" t="s">
        <v>1343</v>
      </c>
      <c r="D295" s="66" t="s">
        <v>1344</v>
      </c>
      <c r="E295" s="66" t="s">
        <v>1361</v>
      </c>
    </row>
    <row r="296">
      <c r="A296" s="66">
        <v>296.0</v>
      </c>
      <c r="B296" s="66" t="s">
        <v>708</v>
      </c>
      <c r="C296" s="66" t="s">
        <v>1343</v>
      </c>
      <c r="D296" s="66" t="s">
        <v>1344</v>
      </c>
      <c r="E296" s="66" t="s">
        <v>1373</v>
      </c>
    </row>
    <row r="297">
      <c r="A297" s="66">
        <v>297.0</v>
      </c>
      <c r="B297" s="66" t="s">
        <v>710</v>
      </c>
      <c r="C297" s="66" t="s">
        <v>1438</v>
      </c>
      <c r="D297" s="66" t="s">
        <v>1439</v>
      </c>
      <c r="E297" s="66" t="s">
        <v>1615</v>
      </c>
    </row>
    <row r="298">
      <c r="A298" s="66">
        <v>298.0</v>
      </c>
      <c r="B298" s="66" t="s">
        <v>713</v>
      </c>
      <c r="C298" s="66" t="s">
        <v>1543</v>
      </c>
      <c r="D298" s="66" t="s">
        <v>1544</v>
      </c>
      <c r="E298" s="66" t="s">
        <v>1577</v>
      </c>
    </row>
    <row r="299">
      <c r="A299" s="66">
        <v>299.0</v>
      </c>
      <c r="B299" s="66" t="s">
        <v>715</v>
      </c>
      <c r="C299" s="66" t="s">
        <v>1414</v>
      </c>
      <c r="D299" s="66" t="s">
        <v>1415</v>
      </c>
      <c r="E299" s="66" t="s">
        <v>1422</v>
      </c>
    </row>
    <row r="300">
      <c r="A300" s="66">
        <v>300.0</v>
      </c>
      <c r="B300" s="66" t="s">
        <v>717</v>
      </c>
      <c r="C300" s="66" t="s">
        <v>1414</v>
      </c>
      <c r="D300" s="66" t="s">
        <v>1415</v>
      </c>
      <c r="E300" s="66" t="s">
        <v>1421</v>
      </c>
    </row>
    <row r="301">
      <c r="A301" s="66">
        <v>301.0</v>
      </c>
      <c r="B301" s="66" t="s">
        <v>719</v>
      </c>
      <c r="C301" s="66" t="s">
        <v>1414</v>
      </c>
      <c r="D301" s="66" t="s">
        <v>1415</v>
      </c>
      <c r="E301" s="66" t="s">
        <v>1425</v>
      </c>
    </row>
    <row r="302">
      <c r="A302" s="66">
        <v>302.0</v>
      </c>
      <c r="B302" s="66" t="s">
        <v>721</v>
      </c>
      <c r="C302" s="66" t="s">
        <v>1414</v>
      </c>
      <c r="D302" s="66" t="s">
        <v>1415</v>
      </c>
      <c r="E302" s="66" t="s">
        <v>1424</v>
      </c>
    </row>
    <row r="303">
      <c r="A303" s="66">
        <v>303.0</v>
      </c>
      <c r="B303" s="66" t="s">
        <v>723</v>
      </c>
      <c r="C303" s="66" t="s">
        <v>1474</v>
      </c>
      <c r="D303" s="66" t="s">
        <v>1475</v>
      </c>
      <c r="E303" s="66" t="s">
        <v>1616</v>
      </c>
    </row>
    <row r="304">
      <c r="A304" s="66">
        <v>304.0</v>
      </c>
      <c r="B304" s="66" t="s">
        <v>725</v>
      </c>
      <c r="C304" s="66" t="s">
        <v>1457</v>
      </c>
      <c r="D304" s="66" t="s">
        <v>1458</v>
      </c>
      <c r="E304" s="66" t="s">
        <v>1588</v>
      </c>
    </row>
    <row r="305">
      <c r="A305" s="66">
        <v>305.0</v>
      </c>
      <c r="B305" s="66" t="s">
        <v>727</v>
      </c>
      <c r="C305" s="66" t="s">
        <v>1457</v>
      </c>
      <c r="D305" s="66" t="s">
        <v>1458</v>
      </c>
      <c r="E305" s="66" t="s">
        <v>1592</v>
      </c>
    </row>
    <row r="306">
      <c r="A306" s="66">
        <v>306.0</v>
      </c>
      <c r="B306" s="66" t="s">
        <v>729</v>
      </c>
      <c r="C306" s="66" t="s">
        <v>1380</v>
      </c>
      <c r="D306" s="66" t="s">
        <v>1381</v>
      </c>
      <c r="E306" s="66" t="s">
        <v>1384</v>
      </c>
    </row>
    <row r="307">
      <c r="A307" s="66">
        <v>307.0</v>
      </c>
      <c r="B307" s="66" t="s">
        <v>731</v>
      </c>
      <c r="C307" s="66" t="s">
        <v>1380</v>
      </c>
      <c r="D307" s="66" t="s">
        <v>1381</v>
      </c>
      <c r="E307" s="66" t="s">
        <v>1413</v>
      </c>
    </row>
    <row r="308">
      <c r="A308" s="66">
        <v>308.0</v>
      </c>
      <c r="B308" s="66" t="s">
        <v>733</v>
      </c>
      <c r="C308" s="66" t="s">
        <v>1380</v>
      </c>
      <c r="D308" s="66" t="s">
        <v>1381</v>
      </c>
      <c r="E308" s="66" t="s">
        <v>1387</v>
      </c>
    </row>
    <row r="309">
      <c r="A309" s="66">
        <v>309.0</v>
      </c>
      <c r="B309" s="66" t="s">
        <v>735</v>
      </c>
      <c r="C309" s="66" t="s">
        <v>1380</v>
      </c>
      <c r="D309" s="66" t="s">
        <v>1381</v>
      </c>
      <c r="E309" s="66" t="s">
        <v>1400</v>
      </c>
    </row>
    <row r="310">
      <c r="A310" s="66">
        <v>310.0</v>
      </c>
      <c r="B310" s="66" t="s">
        <v>737</v>
      </c>
      <c r="C310" s="66" t="s">
        <v>1380</v>
      </c>
      <c r="D310" s="66" t="s">
        <v>1381</v>
      </c>
      <c r="E310" s="66" t="s">
        <v>1386</v>
      </c>
    </row>
    <row r="311">
      <c r="A311" s="66">
        <v>311.0</v>
      </c>
      <c r="B311" s="66" t="s">
        <v>739</v>
      </c>
      <c r="C311" s="66" t="s">
        <v>1380</v>
      </c>
      <c r="D311" s="66" t="s">
        <v>1381</v>
      </c>
      <c r="E311" s="66" t="s">
        <v>1407</v>
      </c>
    </row>
    <row r="312">
      <c r="A312" s="66">
        <v>312.0</v>
      </c>
      <c r="B312" s="66" t="s">
        <v>741</v>
      </c>
      <c r="C312" s="66" t="s">
        <v>1380</v>
      </c>
      <c r="D312" s="66" t="s">
        <v>1381</v>
      </c>
      <c r="E312" s="66" t="s">
        <v>1412</v>
      </c>
    </row>
    <row r="313">
      <c r="A313" s="66">
        <v>313.0</v>
      </c>
      <c r="B313" s="66" t="s">
        <v>743</v>
      </c>
      <c r="C313" s="66" t="s">
        <v>1380</v>
      </c>
      <c r="D313" s="66" t="s">
        <v>1381</v>
      </c>
      <c r="E313" s="66" t="s">
        <v>1406</v>
      </c>
    </row>
    <row r="314">
      <c r="A314" s="66">
        <v>314.0</v>
      </c>
      <c r="B314" s="66" t="s">
        <v>745</v>
      </c>
      <c r="C314" s="66" t="s">
        <v>1380</v>
      </c>
      <c r="D314" s="66" t="s">
        <v>1381</v>
      </c>
      <c r="E314" s="66" t="s">
        <v>1410</v>
      </c>
    </row>
    <row r="315">
      <c r="A315" s="66">
        <v>315.0</v>
      </c>
      <c r="B315" s="66" t="s">
        <v>747</v>
      </c>
      <c r="C315" s="66" t="s">
        <v>1380</v>
      </c>
      <c r="D315" s="66" t="s">
        <v>1381</v>
      </c>
      <c r="E315" s="66" t="s">
        <v>1409</v>
      </c>
    </row>
    <row r="316">
      <c r="A316" s="66">
        <v>316.0</v>
      </c>
      <c r="B316" s="66" t="s">
        <v>749</v>
      </c>
      <c r="C316" s="66" t="s">
        <v>1380</v>
      </c>
      <c r="D316" s="66" t="s">
        <v>1381</v>
      </c>
      <c r="E316" s="66" t="s">
        <v>1401</v>
      </c>
    </row>
    <row r="317">
      <c r="A317" s="66">
        <v>317.0</v>
      </c>
      <c r="B317" s="66" t="s">
        <v>751</v>
      </c>
      <c r="C317" s="66" t="s">
        <v>1380</v>
      </c>
      <c r="D317" s="66" t="s">
        <v>1381</v>
      </c>
      <c r="E317" s="66" t="s">
        <v>1402</v>
      </c>
    </row>
    <row r="318">
      <c r="A318" s="66">
        <v>318.0</v>
      </c>
      <c r="B318" s="66" t="s">
        <v>753</v>
      </c>
      <c r="C318" s="66" t="s">
        <v>1380</v>
      </c>
      <c r="D318" s="66" t="s">
        <v>1381</v>
      </c>
      <c r="E318" s="66" t="s">
        <v>1403</v>
      </c>
    </row>
    <row r="319">
      <c r="A319" s="66">
        <v>319.0</v>
      </c>
      <c r="B319" s="66" t="s">
        <v>755</v>
      </c>
      <c r="C319" s="66" t="s">
        <v>1380</v>
      </c>
      <c r="D319" s="66" t="s">
        <v>1381</v>
      </c>
      <c r="E319" s="66" t="s">
        <v>1392</v>
      </c>
    </row>
    <row r="320">
      <c r="A320" s="66">
        <v>320.0</v>
      </c>
      <c r="B320" s="66" t="s">
        <v>757</v>
      </c>
      <c r="C320" s="66" t="s">
        <v>1380</v>
      </c>
      <c r="D320" s="66" t="s">
        <v>1381</v>
      </c>
      <c r="E320" s="66" t="s">
        <v>1395</v>
      </c>
    </row>
    <row r="321">
      <c r="A321" s="66">
        <v>321.0</v>
      </c>
      <c r="B321" s="66" t="s">
        <v>759</v>
      </c>
      <c r="C321" s="66" t="s">
        <v>1597</v>
      </c>
      <c r="D321" s="66" t="s">
        <v>1618</v>
      </c>
      <c r="E321" s="66" t="s">
        <v>1619</v>
      </c>
    </row>
    <row r="322">
      <c r="A322" s="66">
        <v>322.0</v>
      </c>
      <c r="B322" s="66" t="s">
        <v>762</v>
      </c>
      <c r="C322" s="66" t="s">
        <v>1543</v>
      </c>
      <c r="D322" s="66" t="s">
        <v>1544</v>
      </c>
      <c r="E322" s="66" t="s">
        <v>1563</v>
      </c>
    </row>
    <row r="323">
      <c r="A323" s="66">
        <v>323.0</v>
      </c>
      <c r="B323" s="66" t="s">
        <v>764</v>
      </c>
      <c r="C323" s="66" t="s">
        <v>1543</v>
      </c>
      <c r="D323" s="66" t="s">
        <v>1544</v>
      </c>
      <c r="E323" s="66" t="s">
        <v>1551</v>
      </c>
    </row>
    <row r="324">
      <c r="A324" s="66">
        <v>324.0</v>
      </c>
      <c r="B324" s="66" t="s">
        <v>1576</v>
      </c>
      <c r="C324" s="66" t="s">
        <v>1543</v>
      </c>
      <c r="D324" s="66" t="s">
        <v>1544</v>
      </c>
      <c r="E324" s="66"/>
    </row>
    <row r="325">
      <c r="A325" s="66">
        <v>325.0</v>
      </c>
      <c r="B325" s="66" t="s">
        <v>768</v>
      </c>
      <c r="C325" s="66" t="s">
        <v>1602</v>
      </c>
      <c r="D325" s="66" t="s">
        <v>1614</v>
      </c>
      <c r="E325" s="66"/>
    </row>
    <row r="326">
      <c r="A326" s="66">
        <v>326.0</v>
      </c>
      <c r="B326" s="66" t="s">
        <v>770</v>
      </c>
      <c r="C326" s="66" t="s">
        <v>1484</v>
      </c>
      <c r="D326" s="66" t="s">
        <v>1485</v>
      </c>
      <c r="E326" s="66" t="s">
        <v>1508</v>
      </c>
    </row>
    <row r="327">
      <c r="A327" s="66">
        <v>327.0</v>
      </c>
      <c r="B327" s="66" t="s">
        <v>773</v>
      </c>
      <c r="C327" s="66" t="s">
        <v>1484</v>
      </c>
      <c r="D327" s="66" t="s">
        <v>1485</v>
      </c>
      <c r="E327" s="66"/>
    </row>
    <row r="328">
      <c r="A328" s="66">
        <v>328.0</v>
      </c>
      <c r="B328" s="66" t="s">
        <v>775</v>
      </c>
      <c r="C328" s="66" t="s">
        <v>1484</v>
      </c>
      <c r="D328" s="66" t="s">
        <v>1485</v>
      </c>
      <c r="E328" s="66" t="s">
        <v>1526</v>
      </c>
    </row>
    <row r="329">
      <c r="A329" s="66">
        <v>329.0</v>
      </c>
      <c r="B329" s="66" t="s">
        <v>777</v>
      </c>
      <c r="C329" s="66" t="s">
        <v>1484</v>
      </c>
      <c r="D329" s="66" t="s">
        <v>1485</v>
      </c>
      <c r="E329" s="66" t="s">
        <v>1489</v>
      </c>
    </row>
    <row r="330">
      <c r="A330" s="66">
        <v>330.0</v>
      </c>
      <c r="B330" s="66" t="s">
        <v>779</v>
      </c>
      <c r="C330" s="66" t="s">
        <v>1438</v>
      </c>
      <c r="D330" s="66" t="s">
        <v>1439</v>
      </c>
      <c r="E330" s="66"/>
    </row>
    <row r="331">
      <c r="A331" s="66">
        <v>331.0</v>
      </c>
      <c r="B331" s="66" t="s">
        <v>781</v>
      </c>
      <c r="C331" s="66" t="s">
        <v>1444</v>
      </c>
      <c r="D331" s="66" t="s">
        <v>1445</v>
      </c>
      <c r="E331" s="66" t="s">
        <v>1620</v>
      </c>
    </row>
    <row r="332">
      <c r="A332" s="66">
        <v>332.0</v>
      </c>
      <c r="B332" s="66" t="s">
        <v>783</v>
      </c>
      <c r="C332" s="66" t="s">
        <v>1343</v>
      </c>
      <c r="D332" s="66" t="s">
        <v>1344</v>
      </c>
      <c r="E332" s="66" t="s">
        <v>1357</v>
      </c>
    </row>
    <row r="333">
      <c r="A333" s="66">
        <v>333.0</v>
      </c>
      <c r="B333" s="66" t="s">
        <v>785</v>
      </c>
      <c r="C333" s="66" t="s">
        <v>1343</v>
      </c>
      <c r="D333" s="66" t="s">
        <v>1344</v>
      </c>
      <c r="E333" s="66" t="s">
        <v>1356</v>
      </c>
    </row>
    <row r="334">
      <c r="A334" s="66">
        <v>334.0</v>
      </c>
      <c r="B334" s="66" t="s">
        <v>787</v>
      </c>
      <c r="C334" s="66" t="s">
        <v>1543</v>
      </c>
      <c r="D334" s="66" t="s">
        <v>1544</v>
      </c>
      <c r="E334" s="66" t="s">
        <v>1572</v>
      </c>
    </row>
    <row r="335">
      <c r="A335" s="66">
        <v>335.0</v>
      </c>
      <c r="B335" s="66" t="s">
        <v>789</v>
      </c>
      <c r="C335" s="66" t="s">
        <v>1444</v>
      </c>
      <c r="D335" s="66" t="s">
        <v>1445</v>
      </c>
      <c r="E335" s="66"/>
    </row>
    <row r="336">
      <c r="A336" s="66">
        <v>336.0</v>
      </c>
      <c r="B336" s="66" t="s">
        <v>792</v>
      </c>
      <c r="C336" s="66" t="s">
        <v>1457</v>
      </c>
      <c r="D336" s="66" t="s">
        <v>1458</v>
      </c>
      <c r="E336" s="66" t="s">
        <v>1617</v>
      </c>
    </row>
    <row r="337">
      <c r="A337" s="66">
        <v>337.0</v>
      </c>
      <c r="B337" s="66" t="s">
        <v>795</v>
      </c>
      <c r="C337" s="66" t="s">
        <v>1457</v>
      </c>
      <c r="D337" s="66" t="s">
        <v>1458</v>
      </c>
      <c r="E337" s="66" t="s">
        <v>1610</v>
      </c>
    </row>
    <row r="338">
      <c r="A338" s="66">
        <v>338.0</v>
      </c>
      <c r="B338" s="66" t="s">
        <v>797</v>
      </c>
      <c r="C338" s="66" t="s">
        <v>1470</v>
      </c>
      <c r="D338" s="66" t="s">
        <v>1471</v>
      </c>
      <c r="E338" s="66" t="s">
        <v>1622</v>
      </c>
    </row>
    <row r="339">
      <c r="A339" s="66">
        <v>339.0</v>
      </c>
      <c r="B339" s="66" t="s">
        <v>799</v>
      </c>
      <c r="C339" s="66" t="s">
        <v>1470</v>
      </c>
      <c r="D339" s="66" t="s">
        <v>1471</v>
      </c>
      <c r="E339" s="66" t="s">
        <v>1623</v>
      </c>
    </row>
    <row r="340">
      <c r="A340" s="66">
        <v>340.0</v>
      </c>
      <c r="B340" s="66" t="s">
        <v>801</v>
      </c>
      <c r="C340" s="66" t="s">
        <v>1470</v>
      </c>
      <c r="D340" s="66" t="s">
        <v>1471</v>
      </c>
      <c r="E340" s="66" t="s">
        <v>1624</v>
      </c>
    </row>
    <row r="341">
      <c r="A341" s="66">
        <v>341.0</v>
      </c>
      <c r="B341" s="66" t="s">
        <v>803</v>
      </c>
      <c r="C341" s="66" t="s">
        <v>1470</v>
      </c>
      <c r="D341" s="66" t="s">
        <v>1471</v>
      </c>
      <c r="E341" s="66" t="s">
        <v>1625</v>
      </c>
    </row>
    <row r="342">
      <c r="A342" s="66">
        <v>342.0</v>
      </c>
      <c r="B342" s="66" t="s">
        <v>805</v>
      </c>
      <c r="C342" s="66" t="s">
        <v>1470</v>
      </c>
      <c r="D342" s="66" t="s">
        <v>1471</v>
      </c>
      <c r="E342" s="66" t="s">
        <v>1626</v>
      </c>
    </row>
    <row r="343">
      <c r="A343" s="66">
        <v>343.0</v>
      </c>
      <c r="B343" s="66" t="s">
        <v>807</v>
      </c>
      <c r="C343" s="66" t="s">
        <v>1438</v>
      </c>
      <c r="D343" s="66" t="s">
        <v>1439</v>
      </c>
      <c r="E343" s="66" t="s">
        <v>1627</v>
      </c>
    </row>
    <row r="344">
      <c r="A344" s="66">
        <v>344.0</v>
      </c>
      <c r="B344" s="66" t="s">
        <v>809</v>
      </c>
      <c r="C344" s="66" t="s">
        <v>1470</v>
      </c>
      <c r="D344" s="66" t="s">
        <v>1471</v>
      </c>
      <c r="E344" s="66" t="s">
        <v>1628</v>
      </c>
    </row>
    <row r="345">
      <c r="A345" s="66">
        <v>345.0</v>
      </c>
      <c r="B345" s="66" t="s">
        <v>811</v>
      </c>
      <c r="C345" s="66" t="s">
        <v>1470</v>
      </c>
      <c r="D345" s="66" t="s">
        <v>1471</v>
      </c>
      <c r="E345" s="66" t="s">
        <v>1629</v>
      </c>
    </row>
    <row r="346">
      <c r="A346" s="66">
        <v>346.0</v>
      </c>
      <c r="B346" s="66" t="s">
        <v>813</v>
      </c>
      <c r="C346" s="66" t="s">
        <v>1470</v>
      </c>
      <c r="D346" s="66" t="s">
        <v>1471</v>
      </c>
      <c r="E346" s="66" t="s">
        <v>1630</v>
      </c>
    </row>
    <row r="347">
      <c r="A347" s="66">
        <v>347.0</v>
      </c>
      <c r="B347" s="66" t="s">
        <v>815</v>
      </c>
      <c r="C347" s="66" t="s">
        <v>1474</v>
      </c>
      <c r="D347" s="66" t="s">
        <v>1475</v>
      </c>
      <c r="E347" s="66" t="s">
        <v>1631</v>
      </c>
    </row>
    <row r="348">
      <c r="A348" s="66">
        <v>348.0</v>
      </c>
      <c r="B348" s="66" t="s">
        <v>817</v>
      </c>
      <c r="C348" s="66" t="s">
        <v>1470</v>
      </c>
      <c r="D348" s="66" t="s">
        <v>1471</v>
      </c>
      <c r="E348" s="66"/>
    </row>
    <row r="349">
      <c r="A349" s="66">
        <v>349.0</v>
      </c>
      <c r="B349" s="66" t="s">
        <v>819</v>
      </c>
      <c r="C349" s="66" t="s">
        <v>1474</v>
      </c>
      <c r="D349" s="66" t="s">
        <v>1475</v>
      </c>
      <c r="E349" s="66" t="s">
        <v>1632</v>
      </c>
    </row>
    <row r="350">
      <c r="A350" s="66">
        <v>350.0</v>
      </c>
      <c r="B350" s="66" t="s">
        <v>821</v>
      </c>
      <c r="C350" s="66" t="s">
        <v>1474</v>
      </c>
      <c r="D350" s="66" t="s">
        <v>1475</v>
      </c>
      <c r="E350" s="66" t="s">
        <v>1633</v>
      </c>
    </row>
    <row r="351">
      <c r="A351" s="66">
        <v>351.0</v>
      </c>
      <c r="B351" s="66" t="s">
        <v>823</v>
      </c>
      <c r="C351" s="66" t="s">
        <v>1467</v>
      </c>
      <c r="D351" s="66" t="s">
        <v>1468</v>
      </c>
      <c r="E351" s="66" t="s">
        <v>1634</v>
      </c>
    </row>
    <row r="352">
      <c r="A352" s="66">
        <v>352.0</v>
      </c>
      <c r="B352" s="66" t="s">
        <v>825</v>
      </c>
      <c r="C352" s="66" t="s">
        <v>1543</v>
      </c>
      <c r="D352" s="66" t="s">
        <v>1544</v>
      </c>
      <c r="E352" s="66" t="s">
        <v>1545</v>
      </c>
    </row>
    <row r="353">
      <c r="A353" s="66">
        <v>353.0</v>
      </c>
      <c r="B353" s="66" t="s">
        <v>827</v>
      </c>
      <c r="C353" s="66" t="s">
        <v>1457</v>
      </c>
      <c r="D353" s="66" t="s">
        <v>1458</v>
      </c>
      <c r="E353" s="66" t="s">
        <v>1609</v>
      </c>
    </row>
    <row r="354">
      <c r="A354" s="66">
        <v>354.0</v>
      </c>
      <c r="B354" s="66" t="s">
        <v>74</v>
      </c>
      <c r="C354" s="66" t="s">
        <v>1444</v>
      </c>
      <c r="D354" s="66" t="s">
        <v>1613</v>
      </c>
      <c r="E354" s="66"/>
    </row>
    <row r="355">
      <c r="A355" s="66">
        <v>355.0</v>
      </c>
      <c r="B355" s="66" t="s">
        <v>829</v>
      </c>
      <c r="C355" s="66" t="s">
        <v>1343</v>
      </c>
      <c r="D355" s="66" t="s">
        <v>1344</v>
      </c>
      <c r="E355" s="66" t="s">
        <v>1366</v>
      </c>
    </row>
    <row r="356">
      <c r="A356" s="66">
        <v>356.0</v>
      </c>
      <c r="B356" s="66" t="s">
        <v>831</v>
      </c>
      <c r="C356" s="66" t="s">
        <v>1343</v>
      </c>
      <c r="D356" s="66" t="s">
        <v>1344</v>
      </c>
      <c r="E356" s="66" t="s">
        <v>1368</v>
      </c>
    </row>
    <row r="357">
      <c r="A357" s="66">
        <v>357.0</v>
      </c>
      <c r="B357" s="66" t="s">
        <v>833</v>
      </c>
      <c r="C357" s="66" t="s">
        <v>1599</v>
      </c>
      <c r="D357" s="66" t="s">
        <v>1635</v>
      </c>
      <c r="E357" s="66"/>
    </row>
    <row r="358">
      <c r="A358" s="66">
        <v>358.0</v>
      </c>
      <c r="B358" s="66" t="s">
        <v>835</v>
      </c>
      <c r="C358" s="66" t="s">
        <v>1599</v>
      </c>
      <c r="D358" s="66" t="s">
        <v>1635</v>
      </c>
      <c r="E358" s="66"/>
    </row>
    <row r="359">
      <c r="A359" s="66">
        <v>359.0</v>
      </c>
      <c r="B359" s="66" t="s">
        <v>837</v>
      </c>
      <c r="C359" s="66" t="s">
        <v>1444</v>
      </c>
      <c r="D359" s="66" t="s">
        <v>1445</v>
      </c>
      <c r="E359" s="66" t="s">
        <v>1636</v>
      </c>
    </row>
    <row r="360">
      <c r="A360" s="66">
        <v>360.0</v>
      </c>
      <c r="B360" s="66" t="s">
        <v>839</v>
      </c>
      <c r="C360" s="66" t="s">
        <v>1444</v>
      </c>
      <c r="D360" s="66" t="s">
        <v>1445</v>
      </c>
      <c r="E360" s="66"/>
    </row>
    <row r="361">
      <c r="A361" s="66">
        <v>361.0</v>
      </c>
      <c r="B361" s="66" t="s">
        <v>842</v>
      </c>
      <c r="C361" s="66" t="s">
        <v>1438</v>
      </c>
      <c r="D361" s="66" t="s">
        <v>1439</v>
      </c>
      <c r="E361" s="66" t="s">
        <v>1637</v>
      </c>
    </row>
    <row r="362">
      <c r="A362" s="66">
        <v>362.0</v>
      </c>
      <c r="B362" s="66" t="s">
        <v>844</v>
      </c>
      <c r="C362" s="66" t="s">
        <v>1444</v>
      </c>
      <c r="D362" s="66" t="s">
        <v>1445</v>
      </c>
      <c r="E362" s="66" t="s">
        <v>1638</v>
      </c>
    </row>
    <row r="363">
      <c r="A363" s="66">
        <v>363.0</v>
      </c>
      <c r="B363" s="66" t="s">
        <v>846</v>
      </c>
      <c r="C363" s="66" t="s">
        <v>1343</v>
      </c>
      <c r="D363" s="66" t="s">
        <v>1344</v>
      </c>
      <c r="E363" s="66"/>
    </row>
    <row r="364">
      <c r="A364" s="66">
        <v>364.0</v>
      </c>
      <c r="B364" s="66" t="s">
        <v>848</v>
      </c>
      <c r="C364" s="66" t="s">
        <v>1444</v>
      </c>
      <c r="D364" s="66" t="s">
        <v>1445</v>
      </c>
      <c r="E364" s="66"/>
    </row>
    <row r="365">
      <c r="A365" s="66">
        <v>365.0</v>
      </c>
      <c r="B365" s="66" t="s">
        <v>1639</v>
      </c>
      <c r="C365" s="66" t="s">
        <v>1444</v>
      </c>
      <c r="D365" s="66" t="s">
        <v>1445</v>
      </c>
      <c r="E365" s="66"/>
    </row>
    <row r="366">
      <c r="A366" s="66">
        <v>366.0</v>
      </c>
      <c r="B366" s="66" t="s">
        <v>852</v>
      </c>
      <c r="C366" s="66" t="s">
        <v>1444</v>
      </c>
      <c r="D366" s="66" t="s">
        <v>1445</v>
      </c>
      <c r="E366" s="66" t="s">
        <v>1641</v>
      </c>
    </row>
    <row r="367">
      <c r="A367" s="66">
        <v>367.0</v>
      </c>
      <c r="B367" s="66" t="s">
        <v>854</v>
      </c>
      <c r="C367" s="66" t="s">
        <v>1380</v>
      </c>
      <c r="D367" s="66" t="s">
        <v>1381</v>
      </c>
      <c r="E367" s="66" t="s">
        <v>1383</v>
      </c>
    </row>
    <row r="368">
      <c r="A368" s="66">
        <v>368.0</v>
      </c>
      <c r="B368" s="66" t="s">
        <v>856</v>
      </c>
      <c r="C368" s="66" t="s">
        <v>1380</v>
      </c>
      <c r="D368" s="66" t="s">
        <v>1381</v>
      </c>
      <c r="E368" s="66" t="s">
        <v>1391</v>
      </c>
    </row>
    <row r="369">
      <c r="A369" s="66">
        <v>369.0</v>
      </c>
      <c r="B369" s="66" t="s">
        <v>858</v>
      </c>
      <c r="C369" s="66" t="s">
        <v>1444</v>
      </c>
      <c r="D369" s="66" t="s">
        <v>1445</v>
      </c>
      <c r="E369" s="66" t="s">
        <v>1643</v>
      </c>
    </row>
    <row r="370">
      <c r="A370" s="66">
        <v>370.0</v>
      </c>
      <c r="B370" s="66" t="s">
        <v>860</v>
      </c>
      <c r="C370" s="66" t="s">
        <v>1444</v>
      </c>
      <c r="D370" s="66" t="s">
        <v>1445</v>
      </c>
      <c r="E370" s="66" t="s">
        <v>1644</v>
      </c>
    </row>
    <row r="371">
      <c r="A371" s="66">
        <v>371.0</v>
      </c>
      <c r="B371" s="66" t="s">
        <v>862</v>
      </c>
      <c r="C371" s="66" t="s">
        <v>1444</v>
      </c>
      <c r="D371" s="66" t="s">
        <v>1445</v>
      </c>
      <c r="E371" s="66" t="s">
        <v>1645</v>
      </c>
    </row>
    <row r="372">
      <c r="A372" s="66">
        <v>372.0</v>
      </c>
      <c r="B372" s="66" t="s">
        <v>864</v>
      </c>
      <c r="C372" s="66" t="s">
        <v>1444</v>
      </c>
      <c r="D372" s="66" t="s">
        <v>1445</v>
      </c>
      <c r="E372" s="66" t="s">
        <v>1646</v>
      </c>
    </row>
    <row r="373">
      <c r="A373" s="66">
        <v>373.0</v>
      </c>
      <c r="B373" s="66" t="s">
        <v>866</v>
      </c>
      <c r="C373" s="66" t="s">
        <v>1470</v>
      </c>
      <c r="D373" s="66" t="s">
        <v>1471</v>
      </c>
      <c r="E373" s="66" t="s">
        <v>1647</v>
      </c>
    </row>
    <row r="374">
      <c r="A374" s="66">
        <v>374.0</v>
      </c>
      <c r="B374" s="66" t="s">
        <v>1648</v>
      </c>
      <c r="C374" s="66" t="s">
        <v>1599</v>
      </c>
      <c r="D374" s="66" t="s">
        <v>1635</v>
      </c>
      <c r="E374" s="66"/>
    </row>
    <row r="375">
      <c r="A375" s="66">
        <v>375.0</v>
      </c>
      <c r="B375" s="66" t="s">
        <v>870</v>
      </c>
      <c r="C375" s="66" t="s">
        <v>1602</v>
      </c>
      <c r="D375" s="66" t="s">
        <v>1649</v>
      </c>
      <c r="E375" s="66" t="s">
        <v>1650</v>
      </c>
    </row>
    <row r="376">
      <c r="A376" s="66">
        <v>376.0</v>
      </c>
      <c r="B376" s="66" t="s">
        <v>872</v>
      </c>
      <c r="C376" s="66" t="s">
        <v>1602</v>
      </c>
      <c r="D376" s="66" t="s">
        <v>1649</v>
      </c>
      <c r="E376" s="66" t="s">
        <v>1651</v>
      </c>
    </row>
    <row r="377">
      <c r="A377" s="66">
        <v>377.0</v>
      </c>
      <c r="B377" s="66" t="s">
        <v>874</v>
      </c>
      <c r="C377" s="66" t="s">
        <v>1602</v>
      </c>
      <c r="D377" s="66" t="s">
        <v>1649</v>
      </c>
      <c r="E377" s="66" t="s">
        <v>1652</v>
      </c>
    </row>
    <row r="378">
      <c r="A378" s="66">
        <v>378.0</v>
      </c>
      <c r="B378" s="66" t="s">
        <v>1653</v>
      </c>
      <c r="C378" s="66" t="s">
        <v>1470</v>
      </c>
      <c r="D378" s="66" t="s">
        <v>1471</v>
      </c>
      <c r="E378" s="66"/>
    </row>
    <row r="379">
      <c r="A379" s="66">
        <v>379.0</v>
      </c>
      <c r="B379" s="66" t="s">
        <v>878</v>
      </c>
      <c r="C379" s="66" t="s">
        <v>1470</v>
      </c>
      <c r="D379" s="66" t="s">
        <v>1471</v>
      </c>
      <c r="E379" s="66"/>
    </row>
    <row r="380">
      <c r="A380" s="66">
        <v>380.0</v>
      </c>
      <c r="B380" s="66" t="s">
        <v>880</v>
      </c>
      <c r="C380" s="66" t="s">
        <v>1470</v>
      </c>
      <c r="D380" s="66" t="s">
        <v>1471</v>
      </c>
      <c r="E380" s="66" t="s">
        <v>1654</v>
      </c>
    </row>
    <row r="381">
      <c r="A381" s="66">
        <v>381.0</v>
      </c>
      <c r="B381" s="66" t="s">
        <v>882</v>
      </c>
      <c r="C381" s="66" t="s">
        <v>1474</v>
      </c>
      <c r="D381" s="66" t="s">
        <v>1475</v>
      </c>
      <c r="E381" s="66" t="s">
        <v>1655</v>
      </c>
    </row>
    <row r="382">
      <c r="A382" s="66">
        <v>382.0</v>
      </c>
      <c r="B382" s="66" t="s">
        <v>884</v>
      </c>
      <c r="C382" s="66" t="s">
        <v>1474</v>
      </c>
      <c r="D382" s="66" t="s">
        <v>1475</v>
      </c>
      <c r="E382" s="66" t="s">
        <v>1656</v>
      </c>
    </row>
    <row r="383">
      <c r="A383" s="66">
        <v>383.0</v>
      </c>
      <c r="B383" s="66" t="s">
        <v>886</v>
      </c>
      <c r="C383" s="66" t="s">
        <v>1602</v>
      </c>
      <c r="D383" s="66" t="s">
        <v>1614</v>
      </c>
      <c r="E383" s="66" t="s">
        <v>1657</v>
      </c>
    </row>
    <row r="384">
      <c r="A384" s="66">
        <v>384.0</v>
      </c>
      <c r="B384" s="66" t="s">
        <v>888</v>
      </c>
      <c r="C384" s="66" t="s">
        <v>1448</v>
      </c>
      <c r="D384" s="66" t="s">
        <v>1449</v>
      </c>
      <c r="E384" s="66" t="s">
        <v>1621</v>
      </c>
    </row>
    <row r="385">
      <c r="A385" s="66">
        <v>385.0</v>
      </c>
      <c r="B385" s="66" t="s">
        <v>890</v>
      </c>
      <c r="C385" s="66" t="s">
        <v>1414</v>
      </c>
      <c r="D385" s="66" t="s">
        <v>1415</v>
      </c>
      <c r="E385" s="66" t="s">
        <v>1418</v>
      </c>
    </row>
    <row r="386">
      <c r="A386" s="66">
        <v>386.0</v>
      </c>
      <c r="B386" s="66" t="s">
        <v>892</v>
      </c>
      <c r="C386" s="66" t="s">
        <v>1484</v>
      </c>
      <c r="D386" s="66" t="s">
        <v>1485</v>
      </c>
      <c r="E386" s="66"/>
    </row>
    <row r="387">
      <c r="A387" s="66">
        <v>387.0</v>
      </c>
      <c r="B387" s="66" t="s">
        <v>894</v>
      </c>
      <c r="C387" s="66" t="s">
        <v>1414</v>
      </c>
      <c r="D387" s="66" t="s">
        <v>1415</v>
      </c>
      <c r="E387" s="66" t="s">
        <v>1466</v>
      </c>
    </row>
    <row r="388">
      <c r="A388" s="66">
        <v>388.0</v>
      </c>
      <c r="B388" s="66" t="s">
        <v>1427</v>
      </c>
      <c r="C388" s="66" t="s">
        <v>1414</v>
      </c>
      <c r="D388" s="66" t="s">
        <v>1415</v>
      </c>
      <c r="E388" s="66" t="s">
        <v>1428</v>
      </c>
    </row>
    <row r="389">
      <c r="A389" s="66">
        <v>389.0</v>
      </c>
      <c r="B389" s="66" t="s">
        <v>898</v>
      </c>
      <c r="C389" s="66" t="s">
        <v>1448</v>
      </c>
      <c r="D389" s="66" t="s">
        <v>1449</v>
      </c>
      <c r="E389" s="66" t="s">
        <v>1642</v>
      </c>
    </row>
    <row r="390">
      <c r="A390" s="66">
        <v>390.0</v>
      </c>
      <c r="B390" s="66" t="s">
        <v>900</v>
      </c>
      <c r="C390" s="66" t="s">
        <v>1484</v>
      </c>
      <c r="D390" s="66" t="s">
        <v>1485</v>
      </c>
      <c r="E390" s="66" t="s">
        <v>1518</v>
      </c>
    </row>
    <row r="391">
      <c r="A391" s="66">
        <v>391.0</v>
      </c>
      <c r="B391" s="66" t="s">
        <v>902</v>
      </c>
      <c r="C391" s="66" t="s">
        <v>1597</v>
      </c>
      <c r="D391" s="66" t="s">
        <v>1618</v>
      </c>
      <c r="E391" s="66" t="s">
        <v>1658</v>
      </c>
    </row>
    <row r="392">
      <c r="A392" s="66">
        <v>392.0</v>
      </c>
      <c r="B392" s="66" t="s">
        <v>904</v>
      </c>
      <c r="C392" s="66" t="s">
        <v>1484</v>
      </c>
      <c r="D392" s="66" t="s">
        <v>1485</v>
      </c>
      <c r="E392" s="66" t="s">
        <v>1524</v>
      </c>
    </row>
    <row r="393">
      <c r="A393" s="66">
        <v>393.0</v>
      </c>
      <c r="B393" s="66" t="s">
        <v>906</v>
      </c>
      <c r="C393" s="66" t="s">
        <v>1484</v>
      </c>
      <c r="D393" s="66" t="s">
        <v>1485</v>
      </c>
      <c r="E393" s="66" t="s">
        <v>1520</v>
      </c>
    </row>
    <row r="394">
      <c r="A394" s="66">
        <v>394.0</v>
      </c>
      <c r="B394" s="66" t="s">
        <v>908</v>
      </c>
      <c r="C394" s="66" t="s">
        <v>1343</v>
      </c>
      <c r="D394" s="66" t="s">
        <v>1344</v>
      </c>
      <c r="E394" s="66" t="s">
        <v>1345</v>
      </c>
    </row>
    <row r="395">
      <c r="A395" s="66">
        <v>395.0</v>
      </c>
      <c r="B395" s="66" t="s">
        <v>910</v>
      </c>
      <c r="C395" s="66" t="s">
        <v>1343</v>
      </c>
      <c r="D395" s="66" t="s">
        <v>1344</v>
      </c>
      <c r="E395" s="66" t="s">
        <v>1354</v>
      </c>
    </row>
    <row r="396">
      <c r="A396" s="66">
        <v>396.0</v>
      </c>
      <c r="B396" s="66" t="s">
        <v>912</v>
      </c>
      <c r="C396" s="66" t="s">
        <v>1120</v>
      </c>
      <c r="D396" s="66" t="s">
        <v>1121</v>
      </c>
      <c r="E396" s="66" t="s">
        <v>1122</v>
      </c>
    </row>
    <row r="397">
      <c r="A397" s="66">
        <v>397.0</v>
      </c>
      <c r="B397" s="66" t="s">
        <v>914</v>
      </c>
      <c r="C397" s="66" t="s">
        <v>1259</v>
      </c>
      <c r="D397" s="66" t="s">
        <v>1260</v>
      </c>
      <c r="E397" s="66"/>
    </row>
    <row r="398">
      <c r="A398" s="66">
        <v>398.0</v>
      </c>
      <c r="B398" s="66" t="s">
        <v>916</v>
      </c>
      <c r="C398" s="66" t="s">
        <v>1259</v>
      </c>
      <c r="D398" s="66" t="s">
        <v>1260</v>
      </c>
      <c r="E398" s="66"/>
    </row>
    <row r="399">
      <c r="A399" s="66">
        <v>399.0</v>
      </c>
      <c r="B399" s="66" t="s">
        <v>918</v>
      </c>
      <c r="C399" s="66" t="s">
        <v>1259</v>
      </c>
      <c r="D399" s="66" t="s">
        <v>1260</v>
      </c>
      <c r="E399" s="66"/>
    </row>
    <row r="400">
      <c r="A400" s="66">
        <v>400.0</v>
      </c>
      <c r="B400" s="66" t="s">
        <v>920</v>
      </c>
      <c r="C400" s="66" t="s">
        <v>1259</v>
      </c>
      <c r="D400" s="66" t="s">
        <v>1260</v>
      </c>
      <c r="E400" s="66"/>
    </row>
    <row r="401">
      <c r="A401" s="66">
        <v>401.0</v>
      </c>
      <c r="B401" s="66" t="s">
        <v>922</v>
      </c>
      <c r="C401" s="66" t="s">
        <v>1259</v>
      </c>
      <c r="D401" s="66" t="s">
        <v>1260</v>
      </c>
      <c r="E401" s="66"/>
    </row>
    <row r="402">
      <c r="A402" s="66">
        <v>402.0</v>
      </c>
      <c r="B402" s="66" t="s">
        <v>924</v>
      </c>
      <c r="C402" s="66" t="s">
        <v>1259</v>
      </c>
      <c r="D402" s="66" t="s">
        <v>1260</v>
      </c>
      <c r="E402" s="66"/>
    </row>
    <row r="403">
      <c r="A403" s="66">
        <v>403.0</v>
      </c>
      <c r="B403" s="66" t="s">
        <v>926</v>
      </c>
      <c r="C403" s="66" t="s">
        <v>1259</v>
      </c>
      <c r="D403" s="66" t="s">
        <v>1260</v>
      </c>
      <c r="E403" s="66"/>
    </row>
    <row r="404">
      <c r="A404" s="66">
        <v>404.0</v>
      </c>
      <c r="B404" s="66" t="s">
        <v>928</v>
      </c>
      <c r="C404" s="66" t="s">
        <v>1259</v>
      </c>
      <c r="D404" s="66" t="s">
        <v>1260</v>
      </c>
      <c r="E404" s="66"/>
    </row>
    <row r="405">
      <c r="A405" s="66">
        <v>405.0</v>
      </c>
      <c r="B405" s="66" t="s">
        <v>930</v>
      </c>
      <c r="C405" s="66" t="s">
        <v>1259</v>
      </c>
      <c r="D405" s="66" t="s">
        <v>1260</v>
      </c>
      <c r="E405" s="66"/>
    </row>
    <row r="406">
      <c r="A406" s="66">
        <v>406.0</v>
      </c>
      <c r="B406" s="66" t="s">
        <v>932</v>
      </c>
      <c r="C406" s="66" t="s">
        <v>1259</v>
      </c>
      <c r="D406" s="66" t="s">
        <v>1260</v>
      </c>
      <c r="E406" s="66"/>
    </row>
    <row r="407">
      <c r="A407" s="66">
        <v>407.0</v>
      </c>
      <c r="B407" s="66" t="s">
        <v>934</v>
      </c>
      <c r="C407" s="66" t="s">
        <v>1259</v>
      </c>
      <c r="D407" s="66" t="s">
        <v>1260</v>
      </c>
      <c r="E407" s="66"/>
    </row>
    <row r="408">
      <c r="A408" s="66">
        <v>408.0</v>
      </c>
      <c r="B408" s="66" t="s">
        <v>936</v>
      </c>
      <c r="C408" s="66" t="s">
        <v>1259</v>
      </c>
      <c r="D408" s="66" t="s">
        <v>1260</v>
      </c>
      <c r="E408" s="66"/>
    </row>
    <row r="409">
      <c r="A409" s="66">
        <v>409.0</v>
      </c>
      <c r="B409" s="66" t="s">
        <v>938</v>
      </c>
      <c r="C409" s="66" t="s">
        <v>1259</v>
      </c>
      <c r="D409" s="66" t="s">
        <v>1260</v>
      </c>
      <c r="E409" s="66"/>
    </row>
    <row r="410">
      <c r="A410" s="66">
        <v>410.0</v>
      </c>
      <c r="B410" s="66" t="s">
        <v>940</v>
      </c>
      <c r="C410" s="66" t="s">
        <v>1259</v>
      </c>
      <c r="D410" s="66" t="s">
        <v>1260</v>
      </c>
      <c r="E410" s="66"/>
    </row>
    <row r="411">
      <c r="A411" s="66">
        <v>411.0</v>
      </c>
      <c r="B411" s="66" t="s">
        <v>942</v>
      </c>
      <c r="C411" s="66" t="s">
        <v>1120</v>
      </c>
      <c r="D411" s="66" t="s">
        <v>1125</v>
      </c>
      <c r="E411" s="66" t="s">
        <v>1156</v>
      </c>
    </row>
    <row r="412">
      <c r="A412" s="66">
        <v>412.0</v>
      </c>
      <c r="B412" s="66" t="s">
        <v>944</v>
      </c>
      <c r="C412" s="66" t="s">
        <v>1120</v>
      </c>
      <c r="D412" s="66" t="s">
        <v>1125</v>
      </c>
      <c r="E412" s="66" t="s">
        <v>1157</v>
      </c>
    </row>
    <row r="413">
      <c r="A413" s="66">
        <v>413.0</v>
      </c>
      <c r="B413" s="66" t="s">
        <v>946</v>
      </c>
      <c r="C413" s="66" t="s">
        <v>1120</v>
      </c>
      <c r="D413" s="66" t="s">
        <v>1125</v>
      </c>
      <c r="E413" s="66" t="s">
        <v>1158</v>
      </c>
    </row>
    <row r="414">
      <c r="A414" s="66">
        <v>414.0</v>
      </c>
      <c r="B414" s="66" t="s">
        <v>948</v>
      </c>
      <c r="C414" s="66" t="s">
        <v>1120</v>
      </c>
      <c r="D414" s="66" t="s">
        <v>1125</v>
      </c>
      <c r="E414" s="66" t="s">
        <v>1159</v>
      </c>
    </row>
    <row r="415">
      <c r="A415" s="66">
        <v>415.0</v>
      </c>
      <c r="B415" s="66" t="s">
        <v>950</v>
      </c>
      <c r="C415" s="66" t="s">
        <v>1120</v>
      </c>
      <c r="D415" s="66" t="s">
        <v>1125</v>
      </c>
      <c r="E415" s="66" t="s">
        <v>1160</v>
      </c>
    </row>
    <row r="416">
      <c r="A416" s="66">
        <v>416.0</v>
      </c>
      <c r="B416" s="66" t="s">
        <v>952</v>
      </c>
      <c r="C416" s="66" t="s">
        <v>1120</v>
      </c>
      <c r="D416" s="66" t="s">
        <v>1125</v>
      </c>
      <c r="E416" s="66" t="s">
        <v>1161</v>
      </c>
    </row>
    <row r="417">
      <c r="A417" s="66">
        <v>417.0</v>
      </c>
      <c r="B417" s="66" t="s">
        <v>954</v>
      </c>
      <c r="C417" s="66" t="s">
        <v>1120</v>
      </c>
      <c r="D417" s="66" t="s">
        <v>1125</v>
      </c>
      <c r="E417" s="66" t="s">
        <v>1162</v>
      </c>
    </row>
    <row r="418">
      <c r="A418" s="66">
        <v>418.0</v>
      </c>
      <c r="B418" s="66" t="s">
        <v>956</v>
      </c>
      <c r="C418" s="66" t="s">
        <v>1120</v>
      </c>
      <c r="D418" s="66" t="s">
        <v>1125</v>
      </c>
      <c r="E418" s="66" t="s">
        <v>1163</v>
      </c>
    </row>
    <row r="419">
      <c r="A419" s="66">
        <v>419.0</v>
      </c>
      <c r="B419" s="66" t="s">
        <v>958</v>
      </c>
      <c r="C419" s="66" t="s">
        <v>1120</v>
      </c>
      <c r="D419" s="66" t="s">
        <v>1125</v>
      </c>
      <c r="E419" s="66" t="s">
        <v>1164</v>
      </c>
    </row>
    <row r="420">
      <c r="A420" s="66">
        <v>420.0</v>
      </c>
      <c r="B420" s="66" t="s">
        <v>960</v>
      </c>
      <c r="C420" s="66" t="s">
        <v>1120</v>
      </c>
      <c r="D420" s="66" t="s">
        <v>1125</v>
      </c>
      <c r="E420" s="66" t="s">
        <v>1165</v>
      </c>
    </row>
    <row r="421">
      <c r="A421" s="66">
        <v>421.0</v>
      </c>
      <c r="B421" s="66" t="s">
        <v>962</v>
      </c>
      <c r="C421" s="66" t="s">
        <v>1120</v>
      </c>
      <c r="D421" s="66" t="s">
        <v>1125</v>
      </c>
      <c r="E421" s="66" t="s">
        <v>1166</v>
      </c>
    </row>
    <row r="422">
      <c r="A422" s="66">
        <v>422.0</v>
      </c>
      <c r="B422" s="66" t="s">
        <v>964</v>
      </c>
      <c r="C422" s="66" t="s">
        <v>1120</v>
      </c>
      <c r="D422" s="66" t="s">
        <v>1125</v>
      </c>
      <c r="E422" s="66" t="s">
        <v>1167</v>
      </c>
    </row>
    <row r="423">
      <c r="A423" s="66">
        <v>423.0</v>
      </c>
      <c r="B423" s="66" t="s">
        <v>966</v>
      </c>
      <c r="C423" s="66" t="s">
        <v>1120</v>
      </c>
      <c r="D423" s="66" t="s">
        <v>1125</v>
      </c>
      <c r="E423" s="66" t="s">
        <v>1168</v>
      </c>
    </row>
    <row r="424">
      <c r="A424" s="66">
        <v>424.0</v>
      </c>
      <c r="B424" s="66" t="s">
        <v>968</v>
      </c>
      <c r="C424" s="66" t="s">
        <v>1120</v>
      </c>
      <c r="D424" s="66" t="s">
        <v>1125</v>
      </c>
      <c r="E424" s="66" t="s">
        <v>1170</v>
      </c>
    </row>
    <row r="425">
      <c r="A425" s="66">
        <v>425.0</v>
      </c>
      <c r="B425" s="66" t="s">
        <v>970</v>
      </c>
      <c r="C425" s="66" t="s">
        <v>1120</v>
      </c>
      <c r="D425" s="66" t="s">
        <v>1125</v>
      </c>
      <c r="E425" s="66" t="s">
        <v>1169</v>
      </c>
    </row>
    <row r="426">
      <c r="A426" s="66">
        <v>426.0</v>
      </c>
      <c r="B426" s="66" t="s">
        <v>972</v>
      </c>
      <c r="C426" s="66" t="s">
        <v>1120</v>
      </c>
      <c r="D426" s="66" t="s">
        <v>1125</v>
      </c>
      <c r="E426" s="66" t="s">
        <v>1171</v>
      </c>
    </row>
    <row r="427">
      <c r="A427" s="66">
        <v>427.0</v>
      </c>
      <c r="B427" s="66" t="s">
        <v>974</v>
      </c>
      <c r="C427" s="66" t="s">
        <v>1120</v>
      </c>
      <c r="D427" s="66" t="s">
        <v>1125</v>
      </c>
      <c r="E427" s="66" t="s">
        <v>1172</v>
      </c>
    </row>
    <row r="428">
      <c r="A428" s="66">
        <v>428.0</v>
      </c>
      <c r="B428" s="66" t="s">
        <v>976</v>
      </c>
      <c r="C428" s="66" t="s">
        <v>1120</v>
      </c>
      <c r="D428" s="66" t="s">
        <v>1125</v>
      </c>
      <c r="E428" s="66" t="s">
        <v>1173</v>
      </c>
    </row>
    <row r="429">
      <c r="A429" s="66">
        <v>429.0</v>
      </c>
      <c r="B429" s="66" t="s">
        <v>978</v>
      </c>
      <c r="C429" s="66" t="s">
        <v>1120</v>
      </c>
      <c r="D429" s="66" t="s">
        <v>1125</v>
      </c>
      <c r="E429" s="66" t="s">
        <v>1174</v>
      </c>
    </row>
    <row r="430">
      <c r="A430" s="66">
        <v>430.0</v>
      </c>
      <c r="B430" s="66" t="s">
        <v>980</v>
      </c>
      <c r="C430" s="66" t="s">
        <v>1120</v>
      </c>
      <c r="D430" s="66" t="s">
        <v>1125</v>
      </c>
      <c r="E430" s="66" t="s">
        <v>1175</v>
      </c>
    </row>
    <row r="431">
      <c r="A431" s="66">
        <v>431.0</v>
      </c>
      <c r="B431" s="66" t="s">
        <v>982</v>
      </c>
      <c r="C431" s="66" t="s">
        <v>1120</v>
      </c>
      <c r="D431" s="66" t="s">
        <v>1125</v>
      </c>
      <c r="E431" s="66" t="s">
        <v>1176</v>
      </c>
    </row>
    <row r="432">
      <c r="A432" s="66">
        <v>432.0</v>
      </c>
      <c r="B432" s="66" t="s">
        <v>984</v>
      </c>
      <c r="C432" s="66" t="s">
        <v>1120</v>
      </c>
      <c r="D432" s="66" t="s">
        <v>1125</v>
      </c>
      <c r="E432" s="66" t="s">
        <v>1177</v>
      </c>
    </row>
    <row r="433">
      <c r="A433" s="66">
        <v>433.0</v>
      </c>
      <c r="B433" s="66" t="s">
        <v>986</v>
      </c>
      <c r="C433" s="66" t="s">
        <v>1120</v>
      </c>
      <c r="D433" s="66" t="s">
        <v>1125</v>
      </c>
      <c r="E433" s="66" t="s">
        <v>1178</v>
      </c>
    </row>
    <row r="434">
      <c r="A434" s="66">
        <v>434.0</v>
      </c>
      <c r="B434" s="66" t="s">
        <v>988</v>
      </c>
      <c r="C434" s="66" t="s">
        <v>1120</v>
      </c>
      <c r="D434" s="66" t="s">
        <v>1125</v>
      </c>
      <c r="E434" s="66" t="s">
        <v>1179</v>
      </c>
    </row>
    <row r="435">
      <c r="A435" s="66">
        <v>435.0</v>
      </c>
      <c r="B435" s="66" t="s">
        <v>990</v>
      </c>
      <c r="C435" s="66" t="s">
        <v>1120</v>
      </c>
      <c r="D435" s="66" t="s">
        <v>1125</v>
      </c>
      <c r="E435" s="66" t="s">
        <v>1180</v>
      </c>
    </row>
    <row r="436">
      <c r="A436" s="66">
        <v>436.0</v>
      </c>
      <c r="B436" s="66" t="s">
        <v>992</v>
      </c>
      <c r="C436" s="66" t="s">
        <v>1120</v>
      </c>
      <c r="D436" s="66" t="s">
        <v>1125</v>
      </c>
      <c r="E436" s="66" t="s">
        <v>1181</v>
      </c>
    </row>
    <row r="437">
      <c r="A437" s="66">
        <v>437.0</v>
      </c>
      <c r="B437" s="66" t="s">
        <v>994</v>
      </c>
      <c r="C437" s="66" t="s">
        <v>1120</v>
      </c>
      <c r="D437" s="66" t="s">
        <v>1125</v>
      </c>
      <c r="E437" s="66" t="s">
        <v>1182</v>
      </c>
    </row>
    <row r="438">
      <c r="A438" s="66">
        <v>438.0</v>
      </c>
      <c r="B438" s="66" t="s">
        <v>996</v>
      </c>
      <c r="C438" s="66" t="s">
        <v>1120</v>
      </c>
      <c r="D438" s="66" t="s">
        <v>1125</v>
      </c>
      <c r="E438" s="66" t="s">
        <v>1183</v>
      </c>
    </row>
    <row r="439">
      <c r="A439" s="66">
        <v>439.0</v>
      </c>
      <c r="B439" s="66" t="s">
        <v>998</v>
      </c>
      <c r="C439" s="66" t="s">
        <v>1120</v>
      </c>
      <c r="D439" s="66" t="s">
        <v>1125</v>
      </c>
      <c r="E439" s="66" t="s">
        <v>1184</v>
      </c>
    </row>
    <row r="440">
      <c r="A440" s="66">
        <v>440.0</v>
      </c>
      <c r="B440" s="66" t="s">
        <v>1000</v>
      </c>
      <c r="C440" s="66" t="s">
        <v>1120</v>
      </c>
      <c r="D440" s="66" t="s">
        <v>1125</v>
      </c>
      <c r="E440" s="66" t="s">
        <v>1185</v>
      </c>
    </row>
    <row r="441">
      <c r="A441" s="66">
        <v>441.0</v>
      </c>
      <c r="B441" s="66" t="s">
        <v>1002</v>
      </c>
      <c r="C441" s="66" t="s">
        <v>1120</v>
      </c>
      <c r="D441" s="66" t="s">
        <v>1125</v>
      </c>
      <c r="E441" s="66" t="s">
        <v>1186</v>
      </c>
    </row>
    <row r="442">
      <c r="A442" s="66">
        <v>442.0</v>
      </c>
      <c r="B442" s="66" t="s">
        <v>1004</v>
      </c>
      <c r="C442" s="66" t="s">
        <v>1120</v>
      </c>
      <c r="D442" s="66" t="s">
        <v>1125</v>
      </c>
      <c r="E442" s="66" t="s">
        <v>1187</v>
      </c>
    </row>
    <row r="443">
      <c r="A443" s="66">
        <v>443.0</v>
      </c>
      <c r="B443" s="66" t="s">
        <v>1006</v>
      </c>
      <c r="C443" s="66" t="s">
        <v>1120</v>
      </c>
      <c r="D443" s="66" t="s">
        <v>1125</v>
      </c>
      <c r="E443" s="66" t="s">
        <v>1144</v>
      </c>
    </row>
    <row r="444">
      <c r="A444" s="66">
        <v>444.0</v>
      </c>
      <c r="B444" s="66" t="s">
        <v>1008</v>
      </c>
      <c r="C444" s="66" t="s">
        <v>1120</v>
      </c>
      <c r="D444" s="66" t="s">
        <v>1125</v>
      </c>
      <c r="E444" s="66" t="s">
        <v>1145</v>
      </c>
    </row>
    <row r="445">
      <c r="A445" s="66">
        <v>445.0</v>
      </c>
      <c r="B445" s="66" t="s">
        <v>1010</v>
      </c>
      <c r="C445" s="66" t="s">
        <v>1120</v>
      </c>
      <c r="D445" s="66" t="s">
        <v>1125</v>
      </c>
      <c r="E445" s="66" t="s">
        <v>1147</v>
      </c>
    </row>
    <row r="446">
      <c r="A446" s="66">
        <v>446.0</v>
      </c>
      <c r="B446" s="66" t="s">
        <v>1012</v>
      </c>
      <c r="C446" s="66" t="s">
        <v>1120</v>
      </c>
      <c r="D446" s="66" t="s">
        <v>1125</v>
      </c>
      <c r="E446" s="66" t="s">
        <v>1148</v>
      </c>
    </row>
    <row r="447">
      <c r="A447" s="66">
        <v>447.0</v>
      </c>
      <c r="B447" s="66" t="s">
        <v>1014</v>
      </c>
      <c r="C447" s="66" t="s">
        <v>1120</v>
      </c>
      <c r="D447" s="66" t="s">
        <v>1125</v>
      </c>
      <c r="E447" s="66" t="s">
        <v>1142</v>
      </c>
    </row>
    <row r="448">
      <c r="A448" s="66">
        <v>448.0</v>
      </c>
      <c r="B448" s="66" t="s">
        <v>1016</v>
      </c>
      <c r="C448" s="66" t="s">
        <v>1120</v>
      </c>
      <c r="D448" s="66" t="s">
        <v>1125</v>
      </c>
      <c r="E448" s="66" t="s">
        <v>1146</v>
      </c>
    </row>
    <row r="449">
      <c r="A449" s="66">
        <v>449.0</v>
      </c>
      <c r="B449" s="66" t="s">
        <v>1018</v>
      </c>
      <c r="C449" s="66" t="s">
        <v>1120</v>
      </c>
      <c r="D449" s="66" t="s">
        <v>1125</v>
      </c>
      <c r="E449" s="66" t="s">
        <v>1149</v>
      </c>
    </row>
    <row r="450">
      <c r="A450" s="66">
        <v>450.0</v>
      </c>
      <c r="B450" s="66" t="s">
        <v>1020</v>
      </c>
      <c r="C450" s="66" t="s">
        <v>1120</v>
      </c>
      <c r="D450" s="66" t="s">
        <v>1125</v>
      </c>
      <c r="E450" s="66" t="s">
        <v>1133</v>
      </c>
    </row>
    <row r="451">
      <c r="A451" s="66">
        <v>451.0</v>
      </c>
      <c r="B451" s="66" t="s">
        <v>1022</v>
      </c>
      <c r="C451" s="66" t="s">
        <v>1120</v>
      </c>
      <c r="D451" s="66" t="s">
        <v>1125</v>
      </c>
      <c r="E451" s="66" t="s">
        <v>1131</v>
      </c>
    </row>
    <row r="452">
      <c r="A452" s="66">
        <v>452.0</v>
      </c>
      <c r="B452" s="66" t="s">
        <v>1024</v>
      </c>
      <c r="C452" s="66" t="s">
        <v>1120</v>
      </c>
      <c r="D452" s="66" t="s">
        <v>1125</v>
      </c>
      <c r="E452" s="66" t="s">
        <v>1132</v>
      </c>
    </row>
    <row r="453">
      <c r="A453" s="66">
        <v>453.0</v>
      </c>
      <c r="B453" s="66" t="s">
        <v>1026</v>
      </c>
      <c r="C453" s="66" t="s">
        <v>1120</v>
      </c>
      <c r="D453" s="66" t="s">
        <v>1125</v>
      </c>
      <c r="E453" s="66" t="s">
        <v>1134</v>
      </c>
    </row>
    <row r="454">
      <c r="A454" s="66">
        <v>454.0</v>
      </c>
      <c r="B454" s="66" t="s">
        <v>1028</v>
      </c>
      <c r="C454" s="66" t="s">
        <v>1120</v>
      </c>
      <c r="D454" s="66" t="s">
        <v>1125</v>
      </c>
      <c r="E454" s="66" t="s">
        <v>1130</v>
      </c>
    </row>
    <row r="455">
      <c r="A455" s="66">
        <v>455.0</v>
      </c>
      <c r="B455" s="66" t="s">
        <v>1030</v>
      </c>
      <c r="C455" s="66" t="s">
        <v>1120</v>
      </c>
      <c r="D455" s="66" t="s">
        <v>1125</v>
      </c>
      <c r="E455" s="66" t="s">
        <v>1135</v>
      </c>
    </row>
    <row r="456">
      <c r="A456" s="66">
        <v>456.0</v>
      </c>
      <c r="B456" s="66" t="s">
        <v>1032</v>
      </c>
      <c r="C456" s="66" t="s">
        <v>1120</v>
      </c>
      <c r="D456" s="66" t="s">
        <v>1125</v>
      </c>
      <c r="E456" s="66" t="s">
        <v>1136</v>
      </c>
    </row>
    <row r="457">
      <c r="A457" s="66">
        <v>457.0</v>
      </c>
      <c r="B457" s="66" t="s">
        <v>1034</v>
      </c>
      <c r="C457" s="66" t="s">
        <v>1120</v>
      </c>
      <c r="D457" s="66" t="s">
        <v>1125</v>
      </c>
      <c r="E457" s="66" t="s">
        <v>1143</v>
      </c>
    </row>
    <row r="458">
      <c r="A458" s="66">
        <v>458.0</v>
      </c>
      <c r="B458" s="66" t="s">
        <v>1036</v>
      </c>
      <c r="C458" s="66" t="s">
        <v>1120</v>
      </c>
      <c r="D458" s="66" t="s">
        <v>1125</v>
      </c>
      <c r="E458" s="66" t="s">
        <v>1151</v>
      </c>
    </row>
    <row r="459">
      <c r="A459" s="66">
        <v>459.0</v>
      </c>
      <c r="B459" s="66" t="s">
        <v>1038</v>
      </c>
      <c r="C459" s="66" t="s">
        <v>1120</v>
      </c>
      <c r="D459" s="66" t="s">
        <v>1125</v>
      </c>
      <c r="E459" s="66" t="s">
        <v>1150</v>
      </c>
    </row>
    <row r="460">
      <c r="A460" s="66">
        <v>460.0</v>
      </c>
      <c r="B460" s="66" t="s">
        <v>1040</v>
      </c>
      <c r="C460" s="66" t="s">
        <v>1120</v>
      </c>
      <c r="D460" s="66" t="s">
        <v>1125</v>
      </c>
      <c r="E460" s="66" t="s">
        <v>1139</v>
      </c>
    </row>
    <row r="461">
      <c r="A461" s="66">
        <v>461.0</v>
      </c>
      <c r="B461" s="66" t="s">
        <v>1042</v>
      </c>
      <c r="C461" s="66" t="s">
        <v>1120</v>
      </c>
      <c r="D461" s="66" t="s">
        <v>1125</v>
      </c>
      <c r="E461" s="66" t="s">
        <v>1138</v>
      </c>
    </row>
    <row r="462">
      <c r="A462" s="66">
        <v>462.0</v>
      </c>
      <c r="B462" s="66" t="s">
        <v>1044</v>
      </c>
      <c r="C462" s="66" t="s">
        <v>1120</v>
      </c>
      <c r="D462" s="66" t="s">
        <v>1125</v>
      </c>
      <c r="E462" s="66" t="s">
        <v>1141</v>
      </c>
    </row>
    <row r="463">
      <c r="A463" s="66">
        <v>463.0</v>
      </c>
      <c r="B463" s="66" t="s">
        <v>1046</v>
      </c>
      <c r="C463" s="66" t="s">
        <v>1120</v>
      </c>
      <c r="D463" s="66" t="s">
        <v>1125</v>
      </c>
      <c r="E463" s="66" t="s">
        <v>1140</v>
      </c>
    </row>
    <row r="464">
      <c r="A464" s="66">
        <v>464.0</v>
      </c>
      <c r="B464" s="66" t="s">
        <v>1048</v>
      </c>
      <c r="C464" s="66" t="s">
        <v>1120</v>
      </c>
      <c r="D464" s="66" t="s">
        <v>1125</v>
      </c>
      <c r="E464" s="66" t="s">
        <v>1137</v>
      </c>
    </row>
    <row r="465">
      <c r="A465" s="66">
        <v>465.0</v>
      </c>
      <c r="B465" s="66" t="s">
        <v>1050</v>
      </c>
      <c r="C465" s="66" t="s">
        <v>1120</v>
      </c>
      <c r="D465" s="66" t="s">
        <v>1125</v>
      </c>
      <c r="E465" s="66" t="s">
        <v>1129</v>
      </c>
    </row>
    <row r="466">
      <c r="A466" s="66">
        <v>466.0</v>
      </c>
      <c r="B466" s="66" t="s">
        <v>1052</v>
      </c>
      <c r="C466" s="66" t="s">
        <v>1120</v>
      </c>
      <c r="D466" s="66" t="s">
        <v>1125</v>
      </c>
      <c r="E466" s="66" t="s">
        <v>1152</v>
      </c>
    </row>
    <row r="467">
      <c r="A467" s="66">
        <v>467.0</v>
      </c>
      <c r="B467" s="66" t="s">
        <v>1054</v>
      </c>
      <c r="C467" s="66" t="s">
        <v>1414</v>
      </c>
      <c r="D467" s="66" t="s">
        <v>1415</v>
      </c>
      <c r="E467" s="66" t="s">
        <v>1435</v>
      </c>
    </row>
    <row r="468">
      <c r="A468" s="66">
        <v>468.0</v>
      </c>
      <c r="B468" s="66" t="s">
        <v>1056</v>
      </c>
      <c r="C468" s="66" t="s">
        <v>1414</v>
      </c>
      <c r="D468" s="66" t="s">
        <v>1415</v>
      </c>
      <c r="E468" s="66" t="s">
        <v>1478</v>
      </c>
    </row>
    <row r="469">
      <c r="A469" s="66">
        <v>469.0</v>
      </c>
      <c r="B469" s="66" t="s">
        <v>1058</v>
      </c>
      <c r="C469" s="66" t="s">
        <v>1414</v>
      </c>
      <c r="D469" s="66" t="s">
        <v>1415</v>
      </c>
      <c r="E469" s="66" t="s">
        <v>1443</v>
      </c>
    </row>
    <row r="470">
      <c r="A470" s="66">
        <v>470.0</v>
      </c>
      <c r="B470" s="66" t="s">
        <v>1060</v>
      </c>
      <c r="C470" s="66" t="s">
        <v>1380</v>
      </c>
      <c r="D470" s="66" t="s">
        <v>1381</v>
      </c>
      <c r="E470" s="66" t="s">
        <v>1397</v>
      </c>
    </row>
    <row r="471">
      <c r="A471" s="66">
        <v>471.0</v>
      </c>
      <c r="B471" s="66" t="s">
        <v>1062</v>
      </c>
      <c r="C471" s="66" t="s">
        <v>1120</v>
      </c>
      <c r="D471" s="66" t="s">
        <v>1125</v>
      </c>
      <c r="E471" s="66" t="s">
        <v>1126</v>
      </c>
    </row>
    <row r="472">
      <c r="A472" s="66">
        <v>472.0</v>
      </c>
      <c r="B472" s="66" t="s">
        <v>1064</v>
      </c>
      <c r="C472" s="66" t="s">
        <v>1120</v>
      </c>
      <c r="D472" s="66" t="s">
        <v>1125</v>
      </c>
      <c r="E472" s="66" t="s">
        <v>1127</v>
      </c>
    </row>
    <row r="473">
      <c r="A473" s="66">
        <v>473.0</v>
      </c>
      <c r="B473" s="66" t="s">
        <v>1066</v>
      </c>
      <c r="C473" s="66" t="s">
        <v>1120</v>
      </c>
      <c r="D473" s="66" t="s">
        <v>1125</v>
      </c>
      <c r="E473" s="66" t="s">
        <v>1154</v>
      </c>
    </row>
    <row r="474">
      <c r="A474" s="66">
        <v>474.0</v>
      </c>
      <c r="B474" s="66" t="s">
        <v>1068</v>
      </c>
      <c r="C474" s="66" t="s">
        <v>1120</v>
      </c>
      <c r="D474" s="66" t="s">
        <v>1125</v>
      </c>
      <c r="E474" s="66" t="s">
        <v>1153</v>
      </c>
    </row>
    <row r="475">
      <c r="A475" s="66">
        <v>475.0</v>
      </c>
      <c r="B475" s="66" t="s">
        <v>1070</v>
      </c>
      <c r="C475" s="66" t="s">
        <v>1120</v>
      </c>
      <c r="D475" s="66" t="s">
        <v>1125</v>
      </c>
      <c r="E475" s="66" t="s">
        <v>1134</v>
      </c>
    </row>
    <row r="476">
      <c r="A476" s="66">
        <v>476.0</v>
      </c>
      <c r="B476" s="66" t="s">
        <v>1072</v>
      </c>
      <c r="C476" s="66" t="s">
        <v>1120</v>
      </c>
      <c r="D476" s="66" t="s">
        <v>1125</v>
      </c>
      <c r="E476" s="66" t="s">
        <v>1155</v>
      </c>
    </row>
    <row r="477">
      <c r="A477" s="66">
        <v>477.0</v>
      </c>
      <c r="B477" s="66" t="s">
        <v>1074</v>
      </c>
      <c r="C477" s="66" t="s">
        <v>1188</v>
      </c>
      <c r="D477" s="66" t="s">
        <v>1189</v>
      </c>
      <c r="E477" s="66" t="s">
        <v>1256</v>
      </c>
    </row>
    <row r="478">
      <c r="A478" s="66">
        <v>478.0</v>
      </c>
      <c r="B478" s="66" t="s">
        <v>1076</v>
      </c>
      <c r="C478" s="66" t="s">
        <v>1188</v>
      </c>
      <c r="D478" s="66" t="s">
        <v>1189</v>
      </c>
      <c r="E478" s="66" t="s">
        <v>1255</v>
      </c>
    </row>
    <row r="479">
      <c r="A479" s="66">
        <v>479.0</v>
      </c>
      <c r="B479" s="66" t="s">
        <v>1078</v>
      </c>
      <c r="C479" s="66" t="s">
        <v>1188</v>
      </c>
      <c r="D479" s="66" t="s">
        <v>1189</v>
      </c>
      <c r="E479" s="66" t="s">
        <v>1252</v>
      </c>
    </row>
    <row r="480">
      <c r="A480" s="66">
        <v>480.0</v>
      </c>
      <c r="B480" s="66" t="s">
        <v>1080</v>
      </c>
      <c r="C480" s="66" t="s">
        <v>1188</v>
      </c>
      <c r="D480" s="66" t="s">
        <v>1189</v>
      </c>
      <c r="E480" s="66" t="s">
        <v>1254</v>
      </c>
    </row>
    <row r="481">
      <c r="A481" s="66">
        <v>481.0</v>
      </c>
      <c r="B481" s="66" t="s">
        <v>1082</v>
      </c>
      <c r="C481" s="66" t="s">
        <v>1188</v>
      </c>
      <c r="D481" s="66" t="s">
        <v>1189</v>
      </c>
      <c r="E481" s="66" t="s">
        <v>1253</v>
      </c>
    </row>
    <row r="482">
      <c r="A482" s="66">
        <v>482.0</v>
      </c>
      <c r="B482" s="66" t="s">
        <v>1084</v>
      </c>
      <c r="C482" s="66" t="s">
        <v>1188</v>
      </c>
      <c r="D482" s="66" t="s">
        <v>1189</v>
      </c>
      <c r="E482" s="66" t="s">
        <v>1257</v>
      </c>
    </row>
    <row r="483">
      <c r="A483" s="66">
        <v>483.0</v>
      </c>
      <c r="B483" s="66" t="s">
        <v>1086</v>
      </c>
      <c r="C483" s="66" t="s">
        <v>1120</v>
      </c>
      <c r="D483" s="66" t="s">
        <v>1125</v>
      </c>
      <c r="E483" s="66" t="s">
        <v>1128</v>
      </c>
    </row>
    <row r="484">
      <c r="A484" s="66">
        <v>484.0</v>
      </c>
      <c r="B484" s="66" t="s">
        <v>1088</v>
      </c>
      <c r="C484" s="66" t="s">
        <v>1484</v>
      </c>
      <c r="D484" s="66" t="s">
        <v>1485</v>
      </c>
      <c r="E484" s="66" t="s">
        <v>1519</v>
      </c>
    </row>
    <row r="485">
      <c r="A485" s="66">
        <v>485.0</v>
      </c>
      <c r="B485" s="66" t="s">
        <v>1090</v>
      </c>
      <c r="C485" s="66" t="s">
        <v>1188</v>
      </c>
      <c r="D485" s="66" t="s">
        <v>1189</v>
      </c>
      <c r="E485" s="66" t="s">
        <v>1230</v>
      </c>
    </row>
    <row r="486">
      <c r="A486" s="66">
        <v>486.0</v>
      </c>
      <c r="B486" s="66" t="s">
        <v>1092</v>
      </c>
      <c r="C486" s="66" t="s">
        <v>1188</v>
      </c>
      <c r="D486" s="66" t="s">
        <v>1189</v>
      </c>
      <c r="E486" s="66" t="s">
        <v>1216</v>
      </c>
    </row>
    <row r="487">
      <c r="A487" s="66">
        <v>487.0</v>
      </c>
      <c r="B487" s="66" t="s">
        <v>1094</v>
      </c>
      <c r="C487" s="66" t="s">
        <v>1188</v>
      </c>
      <c r="D487" s="66" t="s">
        <v>1189</v>
      </c>
      <c r="E487" s="66" t="s">
        <v>1241</v>
      </c>
    </row>
    <row r="488">
      <c r="A488" s="66">
        <v>488.0</v>
      </c>
      <c r="B488" s="66" t="s">
        <v>1096</v>
      </c>
      <c r="C488" s="66" t="s">
        <v>1188</v>
      </c>
      <c r="D488" s="66" t="s">
        <v>1189</v>
      </c>
      <c r="E488" s="66" t="s">
        <v>1232</v>
      </c>
    </row>
    <row r="489">
      <c r="A489" s="66">
        <v>489.0</v>
      </c>
      <c r="B489" s="66" t="s">
        <v>1098</v>
      </c>
      <c r="C489" s="66" t="s">
        <v>1188</v>
      </c>
      <c r="D489" s="66" t="s">
        <v>1189</v>
      </c>
      <c r="E489" s="66" t="s">
        <v>1246</v>
      </c>
    </row>
    <row r="490">
      <c r="A490" s="66">
        <v>490.0</v>
      </c>
      <c r="B490" s="66" t="s">
        <v>1100</v>
      </c>
      <c r="C490" s="66" t="s">
        <v>1188</v>
      </c>
      <c r="D490" s="66" t="s">
        <v>1189</v>
      </c>
      <c r="E490" s="66" t="s">
        <v>1237</v>
      </c>
    </row>
    <row r="491">
      <c r="A491" s="66">
        <v>491.0</v>
      </c>
      <c r="B491" s="66" t="s">
        <v>1102</v>
      </c>
      <c r="C491" s="66" t="s">
        <v>1188</v>
      </c>
      <c r="D491" s="66" t="s">
        <v>1189</v>
      </c>
      <c r="E491" s="66" t="s">
        <v>1229</v>
      </c>
    </row>
    <row r="492">
      <c r="A492" s="66">
        <v>492.0</v>
      </c>
      <c r="B492" s="66" t="s">
        <v>1104</v>
      </c>
      <c r="C492" s="66" t="s">
        <v>1188</v>
      </c>
      <c r="D492" s="66" t="s">
        <v>1189</v>
      </c>
      <c r="E492" s="66" t="s">
        <v>1219</v>
      </c>
    </row>
    <row r="493">
      <c r="A493" s="66">
        <v>493.0</v>
      </c>
      <c r="B493" s="66" t="s">
        <v>1106</v>
      </c>
      <c r="C493" s="66" t="s">
        <v>1259</v>
      </c>
      <c r="D493" s="66" t="s">
        <v>1260</v>
      </c>
      <c r="E493" s="66"/>
    </row>
    <row r="494">
      <c r="A494" s="66">
        <v>494.0</v>
      </c>
      <c r="B494" s="66" t="s">
        <v>1325</v>
      </c>
      <c r="C494" s="66" t="s">
        <v>1259</v>
      </c>
      <c r="D494" s="66" t="s">
        <v>1260</v>
      </c>
      <c r="E494" s="66"/>
    </row>
    <row r="495">
      <c r="A495" s="66">
        <v>495.0</v>
      </c>
      <c r="B495" s="66" t="s">
        <v>10</v>
      </c>
      <c r="C495" s="66" t="s">
        <v>1259</v>
      </c>
      <c r="D495" s="66" t="s">
        <v>1260</v>
      </c>
      <c r="E495" s="66"/>
    </row>
    <row r="496">
      <c r="A496" s="66">
        <v>496.0</v>
      </c>
      <c r="B496" s="66" t="s">
        <v>18</v>
      </c>
      <c r="C496" s="66" t="s">
        <v>1259</v>
      </c>
      <c r="D496" s="66" t="s">
        <v>1260</v>
      </c>
      <c r="E496" s="66"/>
    </row>
    <row r="497">
      <c r="A497" s="66">
        <v>497.0</v>
      </c>
      <c r="B497" s="66" t="s">
        <v>21</v>
      </c>
      <c r="C497" s="66" t="s">
        <v>1259</v>
      </c>
      <c r="D497" s="66" t="s">
        <v>1260</v>
      </c>
      <c r="E497" s="66" t="s">
        <v>1326</v>
      </c>
    </row>
    <row r="498">
      <c r="A498" s="66">
        <v>498.0</v>
      </c>
      <c r="B498" s="66" t="s">
        <v>26</v>
      </c>
      <c r="C498" s="66" t="s">
        <v>1259</v>
      </c>
      <c r="D498" s="66" t="s">
        <v>1260</v>
      </c>
      <c r="E498" s="66" t="s">
        <v>1307</v>
      </c>
    </row>
    <row r="499">
      <c r="A499" s="66">
        <v>499.0</v>
      </c>
      <c r="B499" s="66" t="s">
        <v>29</v>
      </c>
      <c r="C499" s="66" t="s">
        <v>1259</v>
      </c>
      <c r="D499" s="66" t="s">
        <v>1260</v>
      </c>
      <c r="E499" s="66" t="s">
        <v>1309</v>
      </c>
    </row>
    <row r="500">
      <c r="A500" s="66">
        <v>500.0</v>
      </c>
      <c r="B500" s="66" t="s">
        <v>31</v>
      </c>
      <c r="C500" s="66" t="s">
        <v>1259</v>
      </c>
      <c r="D500" s="66" t="s">
        <v>1260</v>
      </c>
      <c r="E500" s="66" t="s">
        <v>1313</v>
      </c>
    </row>
    <row r="501">
      <c r="A501" s="66">
        <v>501.0</v>
      </c>
      <c r="B501" s="66" t="s">
        <v>34</v>
      </c>
      <c r="C501" s="66" t="s">
        <v>1259</v>
      </c>
      <c r="D501" s="66" t="s">
        <v>1260</v>
      </c>
      <c r="E501" s="66" t="s">
        <v>1318</v>
      </c>
    </row>
    <row r="502">
      <c r="A502" s="66">
        <v>502.0</v>
      </c>
      <c r="B502" s="66" t="s">
        <v>38</v>
      </c>
      <c r="C502" s="66" t="s">
        <v>1259</v>
      </c>
      <c r="D502" s="66" t="s">
        <v>1260</v>
      </c>
      <c r="E502" s="66" t="s">
        <v>1329</v>
      </c>
    </row>
    <row r="503">
      <c r="A503" s="66">
        <v>503.0</v>
      </c>
      <c r="B503" s="66" t="s">
        <v>42</v>
      </c>
      <c r="C503" s="66" t="s">
        <v>1259</v>
      </c>
      <c r="D503" s="66" t="s">
        <v>1260</v>
      </c>
      <c r="E503" s="66" t="s">
        <v>1271</v>
      </c>
    </row>
    <row r="504">
      <c r="A504" s="66">
        <v>504.0</v>
      </c>
      <c r="B504" s="66" t="s">
        <v>46</v>
      </c>
      <c r="C504" s="66" t="s">
        <v>1259</v>
      </c>
      <c r="D504" s="66" t="s">
        <v>1260</v>
      </c>
      <c r="E504" s="66"/>
    </row>
    <row r="505">
      <c r="A505" s="66">
        <v>505.0</v>
      </c>
      <c r="B505" s="66" t="s">
        <v>50</v>
      </c>
      <c r="C505" s="66" t="s">
        <v>1259</v>
      </c>
      <c r="D505" s="66" t="s">
        <v>1260</v>
      </c>
      <c r="E505" s="66" t="s">
        <v>1311</v>
      </c>
    </row>
    <row r="506">
      <c r="A506" s="66">
        <v>506.0</v>
      </c>
      <c r="B506" s="66" t="s">
        <v>55</v>
      </c>
      <c r="C506" s="66" t="s">
        <v>1259</v>
      </c>
      <c r="D506" s="66" t="s">
        <v>1260</v>
      </c>
      <c r="E506" s="66" t="s">
        <v>1302</v>
      </c>
    </row>
    <row r="507">
      <c r="A507" s="66">
        <v>507.0</v>
      </c>
      <c r="B507" s="66" t="s">
        <v>1112</v>
      </c>
      <c r="C507" s="66" t="s">
        <v>1448</v>
      </c>
      <c r="D507" s="66" t="s">
        <v>1449</v>
      </c>
      <c r="E507" s="66" t="s">
        <v>1640</v>
      </c>
    </row>
    <row r="508">
      <c r="A508" s="66">
        <v>508.0</v>
      </c>
      <c r="B508" s="66" t="s">
        <v>1114</v>
      </c>
      <c r="C508" s="66" t="s">
        <v>1444</v>
      </c>
      <c r="D508" s="66" t="s">
        <v>1445</v>
      </c>
      <c r="E508" s="66" t="s">
        <v>1659</v>
      </c>
    </row>
    <row r="509">
      <c r="A509" s="66">
        <v>509.0</v>
      </c>
      <c r="B509" s="66" t="s">
        <v>1660</v>
      </c>
      <c r="C509" s="66" t="s">
        <v>1467</v>
      </c>
      <c r="D509" s="66" t="s">
        <v>1468</v>
      </c>
      <c r="E509" s="66"/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C2:C509">
      <formula1>Categories!$A$2:$A$22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10.0"/>
    <col customWidth="1" min="3" max="3" width="80.0"/>
    <col customWidth="1" min="4" max="26" width="8.63"/>
  </cols>
  <sheetData>
    <row r="1">
      <c r="A1" s="65" t="s">
        <v>1115</v>
      </c>
      <c r="B1" s="65" t="s">
        <v>1578</v>
      </c>
      <c r="C1" s="65" t="s">
        <v>1119</v>
      </c>
    </row>
    <row r="2">
      <c r="A2" s="66" t="s">
        <v>1120</v>
      </c>
      <c r="B2" s="66">
        <f>COUNTIF('By Category'!$A:$A,A2)</f>
        <v>65</v>
      </c>
      <c r="C2" s="66" t="s">
        <v>1579</v>
      </c>
    </row>
    <row r="3">
      <c r="A3" s="66" t="s">
        <v>1188</v>
      </c>
      <c r="B3" s="66">
        <f>COUNTIF('By Category'!$A:$A,A3)</f>
        <v>69</v>
      </c>
      <c r="C3" s="66" t="s">
        <v>1580</v>
      </c>
    </row>
    <row r="4">
      <c r="A4" s="66" t="s">
        <v>1259</v>
      </c>
      <c r="B4" s="66">
        <f>COUNTIF('By Category'!$A:$A,A4)</f>
        <v>89</v>
      </c>
      <c r="C4" s="66" t="s">
        <v>1581</v>
      </c>
    </row>
    <row r="5">
      <c r="A5" s="66" t="s">
        <v>1332</v>
      </c>
      <c r="B5" s="66">
        <f>COUNTIF('By Category'!$A:$A,A5)</f>
        <v>9</v>
      </c>
      <c r="C5" s="66" t="s">
        <v>1582</v>
      </c>
    </row>
    <row r="6">
      <c r="A6" s="66" t="s">
        <v>1343</v>
      </c>
      <c r="B6" s="66">
        <f>COUNTIF('By Category'!$A:$A,A6)</f>
        <v>36</v>
      </c>
      <c r="C6" s="66" t="s">
        <v>1583</v>
      </c>
    </row>
    <row r="7">
      <c r="A7" s="66" t="s">
        <v>1380</v>
      </c>
      <c r="B7" s="66">
        <f>COUNTIF('By Category'!$A:$A,A7)</f>
        <v>33</v>
      </c>
      <c r="C7" s="66" t="s">
        <v>1584</v>
      </c>
    </row>
    <row r="8">
      <c r="A8" s="66" t="s">
        <v>1414</v>
      </c>
      <c r="B8" s="66">
        <f>COUNTIF('By Category'!$A:$A,A8)</f>
        <v>25</v>
      </c>
      <c r="C8" s="66" t="s">
        <v>1585</v>
      </c>
    </row>
    <row r="9">
      <c r="A9" s="66" t="s">
        <v>1484</v>
      </c>
      <c r="B9" s="66">
        <f>COUNTIF('By Category'!$A:$A,A9)</f>
        <v>19</v>
      </c>
      <c r="C9" s="66" t="s">
        <v>1586</v>
      </c>
    </row>
    <row r="10">
      <c r="A10" s="66" t="s">
        <v>1492</v>
      </c>
      <c r="B10" s="66">
        <f>COUNTIF('By Category'!$A:$A,A10)</f>
        <v>11</v>
      </c>
      <c r="C10" s="66" t="s">
        <v>1587</v>
      </c>
    </row>
    <row r="11">
      <c r="A11" s="66" t="s">
        <v>1543</v>
      </c>
      <c r="B11" s="66">
        <f>COUNTIF('By Category'!$A:$A,A11)</f>
        <v>32</v>
      </c>
      <c r="C11" s="66" t="s">
        <v>1589</v>
      </c>
    </row>
    <row r="12">
      <c r="A12" s="66" t="s">
        <v>1457</v>
      </c>
      <c r="B12" s="66">
        <f>COUNTIF('By Category'!$A:$A,A12)</f>
        <v>22</v>
      </c>
      <c r="C12" s="66" t="s">
        <v>1590</v>
      </c>
    </row>
    <row r="13">
      <c r="A13" s="66" t="s">
        <v>1448</v>
      </c>
      <c r="B13" s="66">
        <f>COUNTIF('By Category'!$A:$A,A13)</f>
        <v>11</v>
      </c>
      <c r="C13" s="66" t="s">
        <v>1591</v>
      </c>
    </row>
    <row r="14">
      <c r="A14" s="66" t="s">
        <v>1444</v>
      </c>
      <c r="B14" s="66">
        <f>COUNTIF('By Category'!$A:$A,A14)</f>
        <v>23</v>
      </c>
      <c r="C14" s="66" t="s">
        <v>1593</v>
      </c>
    </row>
    <row r="15">
      <c r="A15" s="66" t="s">
        <v>1470</v>
      </c>
      <c r="B15" s="66">
        <f>COUNTIF('By Category'!$A:$A,A15)</f>
        <v>15</v>
      </c>
      <c r="C15" s="66" t="s">
        <v>1594</v>
      </c>
    </row>
    <row r="16">
      <c r="A16" s="66" t="s">
        <v>1438</v>
      </c>
      <c r="B16" s="66">
        <f>COUNTIF('By Category'!$A:$A,A16)</f>
        <v>8</v>
      </c>
      <c r="C16" s="66" t="s">
        <v>1595</v>
      </c>
    </row>
    <row r="17">
      <c r="A17" s="66" t="s">
        <v>1474</v>
      </c>
      <c r="B17" s="66">
        <f>COUNTIF('By Category'!$A:$A,A17)</f>
        <v>23</v>
      </c>
      <c r="C17" s="66" t="s">
        <v>1596</v>
      </c>
    </row>
    <row r="18">
      <c r="A18" s="66" t="s">
        <v>1597</v>
      </c>
      <c r="B18" s="66">
        <f>COUNTIF('By Category'!$A:$A,A18)</f>
        <v>2</v>
      </c>
      <c r="C18" s="66" t="s">
        <v>1598</v>
      </c>
    </row>
    <row r="19">
      <c r="A19" s="66" t="s">
        <v>1599</v>
      </c>
      <c r="B19" s="66">
        <f>COUNTIF('By Category'!$A:$A,A19)</f>
        <v>3</v>
      </c>
      <c r="C19" s="66" t="s">
        <v>1601</v>
      </c>
    </row>
    <row r="20">
      <c r="A20" s="66" t="s">
        <v>1602</v>
      </c>
      <c r="B20" s="66">
        <f>COUNTIF('By Category'!$A:$A,A20)</f>
        <v>6</v>
      </c>
      <c r="C20" s="66" t="s">
        <v>1603</v>
      </c>
    </row>
    <row r="21">
      <c r="A21" s="66" t="s">
        <v>1467</v>
      </c>
      <c r="B21" s="66">
        <f>COUNTIF('By Category'!$A:$A,A21)</f>
        <v>6</v>
      </c>
      <c r="C21" s="66" t="s">
        <v>1605</v>
      </c>
    </row>
    <row r="22">
      <c r="A22" s="66" t="s">
        <v>1436</v>
      </c>
      <c r="B22" s="66">
        <f>COUNTIF('By Category'!$A:$A,A22)</f>
        <v>1</v>
      </c>
      <c r="C22" s="66" t="s">
        <v>1607</v>
      </c>
    </row>
    <row r="23"/>
    <row r="24">
      <c r="A24" s="67" t="s">
        <v>1608</v>
      </c>
      <c r="B24" s="67">
        <f>SUM(B2:B22)</f>
        <v>508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2.0"/>
    <col customWidth="1" min="2" max="26" width="8.63"/>
  </cols>
  <sheetData>
    <row r="1">
      <c r="A1" s="68" t="s">
        <v>1115</v>
      </c>
    </row>
    <row r="2">
      <c r="A2" s="69" t="s">
        <v>1120</v>
      </c>
    </row>
    <row r="3">
      <c r="A3" s="69" t="s">
        <v>1188</v>
      </c>
    </row>
    <row r="4">
      <c r="A4" s="69" t="s">
        <v>1259</v>
      </c>
    </row>
    <row r="5">
      <c r="A5" s="69" t="s">
        <v>1332</v>
      </c>
    </row>
    <row r="6">
      <c r="A6" s="69" t="s">
        <v>1343</v>
      </c>
    </row>
    <row r="7">
      <c r="A7" s="69" t="s">
        <v>1380</v>
      </c>
    </row>
    <row r="8">
      <c r="A8" s="69" t="s">
        <v>1414</v>
      </c>
    </row>
    <row r="9">
      <c r="A9" s="69" t="s">
        <v>1484</v>
      </c>
    </row>
    <row r="10">
      <c r="A10" s="69" t="s">
        <v>1492</v>
      </c>
    </row>
    <row r="11">
      <c r="A11" s="69" t="s">
        <v>1543</v>
      </c>
    </row>
    <row r="12">
      <c r="A12" s="69" t="s">
        <v>1457</v>
      </c>
    </row>
    <row r="13">
      <c r="A13" s="69" t="s">
        <v>1448</v>
      </c>
    </row>
    <row r="14">
      <c r="A14" s="69" t="s">
        <v>1444</v>
      </c>
    </row>
    <row r="15">
      <c r="A15" s="69" t="s">
        <v>1470</v>
      </c>
    </row>
    <row r="16">
      <c r="A16" s="69" t="s">
        <v>1438</v>
      </c>
    </row>
    <row r="17">
      <c r="A17" s="69" t="s">
        <v>1474</v>
      </c>
    </row>
    <row r="18">
      <c r="A18" s="69" t="s">
        <v>1597</v>
      </c>
    </row>
    <row r="19">
      <c r="A19" s="69" t="s">
        <v>1599</v>
      </c>
    </row>
    <row r="20">
      <c r="A20" s="69" t="s">
        <v>1602</v>
      </c>
    </row>
    <row r="21">
      <c r="A21" s="69" t="s">
        <v>1467</v>
      </c>
    </row>
    <row r="22">
      <c r="A22" s="69" t="s">
        <v>1436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